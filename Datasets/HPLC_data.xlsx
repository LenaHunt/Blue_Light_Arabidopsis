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m\OneDrive\Plocha\Arabidopsis 2026\"/>
    </mc:Choice>
  </mc:AlternateContent>
  <xr:revisionPtr revIDLastSave="0" documentId="13_ncr:1_{90B8F417-3776-44C2-87A5-C8520F6FFAF7}" xr6:coauthVersionLast="47" xr6:coauthVersionMax="47" xr10:uidLastSave="{00000000-0000-0000-0000-000000000000}"/>
  <bookViews>
    <workbookView xWindow="-105" yWindow="0" windowWidth="14610" windowHeight="15585" xr2:uid="{AD3CA184-7B1B-4D29-B765-4B0399473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</calcChain>
</file>

<file path=xl/sharedStrings.xml><?xml version="1.0" encoding="utf-8"?>
<sst xmlns="http://schemas.openxmlformats.org/spreadsheetml/2006/main" count="223" uniqueCount="39">
  <si>
    <t>genotype</t>
  </si>
  <si>
    <t>cry</t>
  </si>
  <si>
    <t>cry_WT</t>
  </si>
  <si>
    <t>tt4</t>
  </si>
  <si>
    <t>tt4_WT</t>
  </si>
  <si>
    <t>light</t>
  </si>
  <si>
    <t>RG</t>
  </si>
  <si>
    <t>RGB</t>
  </si>
  <si>
    <t>treatment</t>
  </si>
  <si>
    <t>UV</t>
  </si>
  <si>
    <t>control</t>
  </si>
  <si>
    <t>Isovitexin</t>
  </si>
  <si>
    <t>Luteolin</t>
  </si>
  <si>
    <t>Kaempferol</t>
  </si>
  <si>
    <t>Homoorientin</t>
  </si>
  <si>
    <t>Quercetin</t>
  </si>
  <si>
    <t>Taxifolin</t>
  </si>
  <si>
    <t>Epigallocatechin</t>
  </si>
  <si>
    <t>Saponarin</t>
  </si>
  <si>
    <t>160616198,4</t>
  </si>
  <si>
    <t>129139212,4</t>
  </si>
  <si>
    <t>31020400,32</t>
  </si>
  <si>
    <t>27642720,9</t>
  </si>
  <si>
    <t>178037890,3</t>
  </si>
  <si>
    <t>73291470,93</t>
  </si>
  <si>
    <t>111915312,7</t>
  </si>
  <si>
    <t>Group</t>
  </si>
  <si>
    <t>3 hydroxybenzoic acid</t>
  </si>
  <si>
    <t>Protocatechuic acid</t>
  </si>
  <si>
    <t>p-coumaric acid</t>
  </si>
  <si>
    <t>Vanillic acid</t>
  </si>
  <si>
    <t>Gallic acid</t>
  </si>
  <si>
    <t>Caffeic acid</t>
  </si>
  <si>
    <t>Ferulic acid</t>
  </si>
  <si>
    <t>Syringic acid</t>
  </si>
  <si>
    <t>Sinapic acid</t>
  </si>
  <si>
    <t>Chlorogenic acid</t>
  </si>
  <si>
    <t>Epigallocatechin gallate</t>
  </si>
  <si>
    <t>DL catechin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</si>
</sst>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7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3" fontId="2" fillId="0" borderId="7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B8E5-4BE8-48EC-95E7-9882CA6A84CB}">
  <dimension ref="A1:X1000"/>
  <sheetViews>
    <sheetView tabSelected="1" topLeftCell="Q31" zoomScale="112" zoomScaleNormal="112" workbookViewId="0">
      <selection activeCell="S37" sqref="S37"/>
    </sheetView>
  </sheetViews>
  <sheetFormatPr defaultRowHeight="15" x14ac:dyDescent="0.25"/>
  <cols>
    <col min="4" max="4" width="24.42578125" customWidth="1"/>
    <col min="5" max="5" width="12.42578125" customWidth="1"/>
    <col min="6" max="6" width="17" customWidth="1"/>
    <col min="7" max="7" width="16.42578125" customWidth="1"/>
    <col min="8" max="8" width="14.5703125" customWidth="1"/>
    <col min="9" max="9" width="16.140625" customWidth="1"/>
    <col min="10" max="10" width="14.5703125" customWidth="1"/>
    <col min="11" max="11" width="15.140625" customWidth="1"/>
    <col min="12" max="12" width="12.7109375" customWidth="1"/>
    <col min="14" max="24" width="22.140625" customWidth="1"/>
  </cols>
  <sheetData>
    <row r="1" spans="1:24" ht="48.75" thickTop="1" thickBot="1" x14ac:dyDescent="0.3">
      <c r="A1" s="1" t="s">
        <v>0</v>
      </c>
      <c r="B1" s="5" t="s">
        <v>5</v>
      </c>
      <c r="C1" s="5" t="s">
        <v>8</v>
      </c>
      <c r="D1" s="15" t="s">
        <v>26</v>
      </c>
      <c r="E1" s="8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37</v>
      </c>
      <c r="W1" s="9" t="s">
        <v>18</v>
      </c>
      <c r="X1" s="9" t="s">
        <v>38</v>
      </c>
    </row>
    <row r="2" spans="1:24" ht="15.75" thickBot="1" x14ac:dyDescent="0.3">
      <c r="A2" s="2" t="s">
        <v>1</v>
      </c>
      <c r="B2" s="6" t="s">
        <v>6</v>
      </c>
      <c r="C2" s="6" t="s">
        <v>9</v>
      </c>
      <c r="D2" s="16" t="str">
        <f>_xlfn.CONCAT(A2, "_", B2, "_", C2)</f>
        <v>cry_RG_UV</v>
      </c>
      <c r="E2" s="10">
        <v>362799</v>
      </c>
      <c r="F2" s="11">
        <v>893655</v>
      </c>
      <c r="G2" s="11">
        <v>25152</v>
      </c>
      <c r="H2" s="11">
        <v>45330</v>
      </c>
      <c r="I2" s="11">
        <v>6669</v>
      </c>
      <c r="J2" s="11">
        <v>34484</v>
      </c>
      <c r="K2" s="11">
        <v>316612</v>
      </c>
      <c r="L2" s="11">
        <v>105161</v>
      </c>
      <c r="M2" s="11">
        <v>61316537</v>
      </c>
      <c r="N2" s="11">
        <v>1146780</v>
      </c>
      <c r="O2" s="11">
        <v>394678</v>
      </c>
      <c r="P2" s="11">
        <v>3920</v>
      </c>
      <c r="Q2" s="11">
        <v>27796</v>
      </c>
      <c r="R2" s="11">
        <v>1819</v>
      </c>
      <c r="S2" s="12">
        <v>0</v>
      </c>
      <c r="T2" s="12">
        <v>0</v>
      </c>
      <c r="U2" s="11">
        <v>15993</v>
      </c>
      <c r="V2" s="11">
        <v>17999</v>
      </c>
      <c r="W2" s="12">
        <v>0</v>
      </c>
      <c r="X2" s="12">
        <v>0</v>
      </c>
    </row>
    <row r="3" spans="1:24" ht="15.75" thickBot="1" x14ac:dyDescent="0.3">
      <c r="A3" s="2" t="s">
        <v>1</v>
      </c>
      <c r="B3" s="6" t="s">
        <v>6</v>
      </c>
      <c r="C3" s="6" t="s">
        <v>9</v>
      </c>
      <c r="D3" s="16" t="str">
        <f t="shared" ref="D3:D65" si="0">_xlfn.CONCAT(A3, "_", B3, "_", C3)</f>
        <v>cry_RG_UV</v>
      </c>
      <c r="E3" s="10">
        <v>268392</v>
      </c>
      <c r="F3" s="11">
        <v>800861</v>
      </c>
      <c r="G3" s="11">
        <v>27710</v>
      </c>
      <c r="H3" s="11">
        <v>27724</v>
      </c>
      <c r="I3" s="12">
        <v>0</v>
      </c>
      <c r="J3" s="11">
        <v>205723</v>
      </c>
      <c r="K3" s="11">
        <v>1156195</v>
      </c>
      <c r="L3" s="11">
        <v>103996</v>
      </c>
      <c r="M3" s="11">
        <v>58783732</v>
      </c>
      <c r="N3" s="11">
        <v>554730</v>
      </c>
      <c r="O3" s="11">
        <v>284354</v>
      </c>
      <c r="P3" s="11">
        <v>2759</v>
      </c>
      <c r="Q3" s="11">
        <v>6217</v>
      </c>
      <c r="R3" s="12">
        <v>0</v>
      </c>
      <c r="S3" s="12">
        <v>0</v>
      </c>
      <c r="T3" s="12">
        <v>0</v>
      </c>
      <c r="U3" s="11">
        <v>4890</v>
      </c>
      <c r="V3" s="12">
        <v>0</v>
      </c>
      <c r="W3" s="12">
        <v>0</v>
      </c>
      <c r="X3" s="12">
        <v>0</v>
      </c>
    </row>
    <row r="4" spans="1:24" ht="15.75" thickBot="1" x14ac:dyDescent="0.3">
      <c r="A4" s="2" t="s">
        <v>1</v>
      </c>
      <c r="B4" s="6" t="s">
        <v>6</v>
      </c>
      <c r="C4" s="6" t="s">
        <v>9</v>
      </c>
      <c r="D4" s="16" t="str">
        <f t="shared" si="0"/>
        <v>cry_RG_UV</v>
      </c>
      <c r="E4" s="10">
        <v>338793</v>
      </c>
      <c r="F4" s="11">
        <v>646475</v>
      </c>
      <c r="G4" s="11">
        <v>16827</v>
      </c>
      <c r="H4" s="11">
        <v>47718</v>
      </c>
      <c r="I4" s="11">
        <v>34041</v>
      </c>
      <c r="J4" s="11">
        <v>311185</v>
      </c>
      <c r="K4" s="11">
        <v>1056763</v>
      </c>
      <c r="L4" s="11">
        <v>113538</v>
      </c>
      <c r="M4" s="11">
        <v>63040484</v>
      </c>
      <c r="N4" s="11">
        <v>775891</v>
      </c>
      <c r="O4" s="11">
        <v>218393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1">
        <v>12290</v>
      </c>
      <c r="V4" s="12">
        <v>0</v>
      </c>
      <c r="W4" s="12">
        <v>0</v>
      </c>
      <c r="X4" s="12">
        <v>0</v>
      </c>
    </row>
    <row r="5" spans="1:24" ht="15.75" thickBot="1" x14ac:dyDescent="0.3">
      <c r="A5" s="2" t="s">
        <v>1</v>
      </c>
      <c r="B5" s="6" t="s">
        <v>6</v>
      </c>
      <c r="C5" s="6" t="s">
        <v>9</v>
      </c>
      <c r="D5" s="16" t="str">
        <f t="shared" si="0"/>
        <v>cry_RG_UV</v>
      </c>
      <c r="E5" s="10">
        <v>373023</v>
      </c>
      <c r="F5" s="11">
        <v>1457753</v>
      </c>
      <c r="G5" s="11">
        <v>7203</v>
      </c>
      <c r="H5" s="11">
        <v>48546</v>
      </c>
      <c r="I5" s="11">
        <v>14242</v>
      </c>
      <c r="J5" s="11">
        <v>157218</v>
      </c>
      <c r="K5" s="11">
        <v>275244</v>
      </c>
      <c r="L5" s="11">
        <v>105217</v>
      </c>
      <c r="M5" s="11">
        <v>61852031</v>
      </c>
      <c r="N5" s="11">
        <v>1796776</v>
      </c>
      <c r="O5" s="11">
        <v>667622</v>
      </c>
      <c r="P5" s="11">
        <v>4742</v>
      </c>
      <c r="Q5" s="11">
        <v>16162</v>
      </c>
      <c r="R5" s="11">
        <v>1902</v>
      </c>
      <c r="S5" s="11">
        <v>8329</v>
      </c>
      <c r="T5" s="11">
        <v>3930</v>
      </c>
      <c r="U5" s="11">
        <v>24094</v>
      </c>
      <c r="V5" s="11">
        <v>7205</v>
      </c>
      <c r="W5" s="12">
        <v>0</v>
      </c>
      <c r="X5" s="12">
        <v>0</v>
      </c>
    </row>
    <row r="6" spans="1:24" ht="30.75" thickBot="1" x14ac:dyDescent="0.3">
      <c r="A6" s="2" t="s">
        <v>1</v>
      </c>
      <c r="B6" s="6" t="s">
        <v>7</v>
      </c>
      <c r="C6" s="6" t="s">
        <v>9</v>
      </c>
      <c r="D6" s="16" t="str">
        <f t="shared" si="0"/>
        <v>cry_RGB_UV</v>
      </c>
      <c r="E6" s="13">
        <v>2806606557</v>
      </c>
      <c r="F6" s="14">
        <v>4962459016</v>
      </c>
      <c r="G6" s="14">
        <v>4443114754</v>
      </c>
      <c r="H6" s="14">
        <v>8811147541</v>
      </c>
      <c r="I6" s="14">
        <v>9442622951</v>
      </c>
      <c r="J6" s="14">
        <v>1939672131</v>
      </c>
      <c r="K6" s="14">
        <v>3380360656</v>
      </c>
      <c r="L6" s="14">
        <v>6603114754</v>
      </c>
      <c r="M6" s="11" t="s">
        <v>19</v>
      </c>
      <c r="N6" s="14">
        <v>1713770492</v>
      </c>
      <c r="O6" s="14">
        <v>4801213115</v>
      </c>
      <c r="P6" s="14">
        <v>1926065574</v>
      </c>
      <c r="Q6" s="14">
        <v>3076229508</v>
      </c>
      <c r="R6" s="12">
        <v>0</v>
      </c>
      <c r="S6" s="12">
        <v>0</v>
      </c>
      <c r="T6" s="12">
        <v>0</v>
      </c>
      <c r="U6" s="14">
        <v>1122459016</v>
      </c>
      <c r="V6" s="12">
        <v>0</v>
      </c>
      <c r="W6" s="12">
        <v>0</v>
      </c>
      <c r="X6" s="12">
        <v>0</v>
      </c>
    </row>
    <row r="7" spans="1:24" ht="30.75" thickBot="1" x14ac:dyDescent="0.3">
      <c r="A7" s="2" t="s">
        <v>1</v>
      </c>
      <c r="B7" s="6" t="s">
        <v>7</v>
      </c>
      <c r="C7" s="6" t="s">
        <v>9</v>
      </c>
      <c r="D7" s="16" t="str">
        <f t="shared" si="0"/>
        <v>cry_RGB_UV</v>
      </c>
      <c r="E7" s="13">
        <v>1743136364</v>
      </c>
      <c r="F7" s="11">
        <v>824100</v>
      </c>
      <c r="G7" s="14">
        <v>1299049587</v>
      </c>
      <c r="H7" s="14">
        <v>2416239669</v>
      </c>
      <c r="I7" s="14">
        <v>6845454545</v>
      </c>
      <c r="J7" s="14">
        <v>3756198347</v>
      </c>
      <c r="K7" s="14">
        <v>5147454545</v>
      </c>
      <c r="L7" s="14">
        <v>3951446281</v>
      </c>
      <c r="M7" s="11" t="s">
        <v>20</v>
      </c>
      <c r="N7" s="14">
        <v>5095661157</v>
      </c>
      <c r="O7" s="14">
        <v>4933859504</v>
      </c>
      <c r="P7" s="14">
        <v>880661157</v>
      </c>
      <c r="Q7" s="14">
        <v>3689256198</v>
      </c>
      <c r="R7" s="12">
        <v>0</v>
      </c>
      <c r="S7" s="14">
        <v>876322</v>
      </c>
      <c r="T7" s="12">
        <v>0</v>
      </c>
      <c r="U7" s="14">
        <v>5899586777</v>
      </c>
      <c r="V7" s="14">
        <v>3954793388</v>
      </c>
      <c r="W7" s="12">
        <v>0</v>
      </c>
      <c r="X7" s="12">
        <v>0</v>
      </c>
    </row>
    <row r="8" spans="1:24" ht="15.75" thickBot="1" x14ac:dyDescent="0.3">
      <c r="A8" s="2" t="s">
        <v>1</v>
      </c>
      <c r="B8" s="6" t="s">
        <v>7</v>
      </c>
      <c r="C8" s="6" t="s">
        <v>9</v>
      </c>
      <c r="D8" s="16" t="str">
        <f t="shared" si="0"/>
        <v>cry_RGB_UV</v>
      </c>
      <c r="E8" s="10">
        <v>157553</v>
      </c>
      <c r="F8" s="11">
        <v>801679</v>
      </c>
      <c r="G8" s="11">
        <v>87193</v>
      </c>
      <c r="H8" s="11">
        <v>25886</v>
      </c>
      <c r="I8" s="11">
        <v>81123</v>
      </c>
      <c r="J8" s="11">
        <v>65523</v>
      </c>
      <c r="K8" s="11">
        <v>376388</v>
      </c>
      <c r="L8" s="11">
        <v>94681</v>
      </c>
      <c r="M8" s="11">
        <v>102022123</v>
      </c>
      <c r="N8" s="11">
        <v>25870</v>
      </c>
      <c r="O8" s="11">
        <v>566353</v>
      </c>
      <c r="P8" s="11">
        <v>38332</v>
      </c>
      <c r="Q8" s="11">
        <v>63538</v>
      </c>
      <c r="R8" s="11">
        <v>42025</v>
      </c>
      <c r="S8" s="11">
        <v>41984</v>
      </c>
      <c r="T8" s="11">
        <v>26059</v>
      </c>
      <c r="U8" s="11">
        <v>10830</v>
      </c>
      <c r="V8" s="11">
        <v>5931</v>
      </c>
      <c r="W8" s="11">
        <v>50506</v>
      </c>
      <c r="X8" s="12">
        <v>0</v>
      </c>
    </row>
    <row r="9" spans="1:24" ht="15.75" thickBot="1" x14ac:dyDescent="0.3">
      <c r="A9" s="2" t="s">
        <v>1</v>
      </c>
      <c r="B9" s="6" t="s">
        <v>7</v>
      </c>
      <c r="C9" s="6" t="s">
        <v>9</v>
      </c>
      <c r="D9" s="16" t="str">
        <f t="shared" si="0"/>
        <v>cry_RGB_UV</v>
      </c>
      <c r="E9" s="10">
        <v>237846</v>
      </c>
      <c r="F9" s="11">
        <v>82071</v>
      </c>
      <c r="G9" s="11">
        <v>96313</v>
      </c>
      <c r="H9" s="11">
        <v>26519</v>
      </c>
      <c r="I9" s="11">
        <v>169707</v>
      </c>
      <c r="J9" s="11">
        <v>60706</v>
      </c>
      <c r="K9" s="11">
        <v>331489</v>
      </c>
      <c r="L9" s="11">
        <v>53466</v>
      </c>
      <c r="M9" s="11">
        <v>124195034</v>
      </c>
      <c r="N9" s="11">
        <v>10729</v>
      </c>
      <c r="O9" s="11">
        <v>484114</v>
      </c>
      <c r="P9" s="11">
        <v>44195</v>
      </c>
      <c r="Q9" s="11">
        <v>85889</v>
      </c>
      <c r="R9" s="11">
        <v>30461</v>
      </c>
      <c r="S9" s="11">
        <v>62519</v>
      </c>
      <c r="T9" s="11">
        <v>21317</v>
      </c>
      <c r="U9" s="11">
        <v>11708</v>
      </c>
      <c r="V9" s="11">
        <v>6798</v>
      </c>
      <c r="W9" s="11">
        <v>21426</v>
      </c>
      <c r="X9" s="11">
        <v>29516</v>
      </c>
    </row>
    <row r="10" spans="1:24" ht="15.75" thickBot="1" x14ac:dyDescent="0.3">
      <c r="A10" s="2" t="s">
        <v>2</v>
      </c>
      <c r="B10" s="6" t="s">
        <v>6</v>
      </c>
      <c r="C10" s="6" t="s">
        <v>9</v>
      </c>
      <c r="D10" s="16" t="str">
        <f t="shared" si="0"/>
        <v>cry_WT_RG_UV</v>
      </c>
      <c r="E10" s="10">
        <v>627853</v>
      </c>
      <c r="F10" s="11">
        <v>1695002</v>
      </c>
      <c r="G10" s="11">
        <v>189740</v>
      </c>
      <c r="H10" s="11">
        <v>36258</v>
      </c>
      <c r="I10" s="12">
        <v>0</v>
      </c>
      <c r="J10" s="11">
        <v>90256</v>
      </c>
      <c r="K10" s="11">
        <v>216719</v>
      </c>
      <c r="L10" s="11">
        <v>131325</v>
      </c>
      <c r="M10" s="11">
        <v>50734889</v>
      </c>
      <c r="N10" s="11">
        <v>1458308</v>
      </c>
      <c r="O10" s="11">
        <v>661399</v>
      </c>
      <c r="P10" s="11">
        <v>3952</v>
      </c>
      <c r="Q10" s="11">
        <v>4326</v>
      </c>
      <c r="R10" s="12">
        <v>0</v>
      </c>
      <c r="S10" s="11">
        <v>1724</v>
      </c>
      <c r="T10" s="12">
        <v>0</v>
      </c>
      <c r="U10" s="11">
        <v>4174</v>
      </c>
      <c r="V10" s="11">
        <v>6863</v>
      </c>
      <c r="W10" s="12">
        <v>0</v>
      </c>
      <c r="X10" s="11">
        <v>18354</v>
      </c>
    </row>
    <row r="11" spans="1:24" ht="15.75" thickBot="1" x14ac:dyDescent="0.3">
      <c r="A11" s="2" t="s">
        <v>2</v>
      </c>
      <c r="B11" s="6" t="s">
        <v>6</v>
      </c>
      <c r="C11" s="6" t="s">
        <v>9</v>
      </c>
      <c r="D11" s="16" t="str">
        <f t="shared" si="0"/>
        <v>cry_WT_RG_UV</v>
      </c>
      <c r="E11" s="10">
        <v>364779</v>
      </c>
      <c r="F11" s="11">
        <v>1956321</v>
      </c>
      <c r="G11" s="11">
        <v>24567</v>
      </c>
      <c r="H11" s="11">
        <v>76426</v>
      </c>
      <c r="I11" s="12">
        <v>0</v>
      </c>
      <c r="J11" s="11">
        <v>39624</v>
      </c>
      <c r="K11" s="11">
        <v>292318</v>
      </c>
      <c r="L11" s="11">
        <v>135688</v>
      </c>
      <c r="M11" s="11">
        <v>57431089</v>
      </c>
      <c r="N11" s="11">
        <v>401626</v>
      </c>
      <c r="O11" s="11">
        <v>398951</v>
      </c>
      <c r="P11" s="12">
        <v>0</v>
      </c>
      <c r="Q11" s="11">
        <v>11179</v>
      </c>
      <c r="R11" s="12">
        <v>0</v>
      </c>
      <c r="S11" s="12">
        <v>0</v>
      </c>
      <c r="T11" s="12">
        <v>0</v>
      </c>
      <c r="U11" s="11">
        <v>19926</v>
      </c>
      <c r="V11" s="11">
        <v>33100</v>
      </c>
      <c r="W11" s="12">
        <v>0</v>
      </c>
      <c r="X11" s="11">
        <v>31262</v>
      </c>
    </row>
    <row r="12" spans="1:24" ht="15.75" thickBot="1" x14ac:dyDescent="0.3">
      <c r="A12" s="2" t="s">
        <v>2</v>
      </c>
      <c r="B12" s="6" t="s">
        <v>6</v>
      </c>
      <c r="C12" s="6" t="s">
        <v>9</v>
      </c>
      <c r="D12" s="16" t="str">
        <f t="shared" si="0"/>
        <v>cry_WT_RG_UV</v>
      </c>
      <c r="E12" s="10">
        <v>328182</v>
      </c>
      <c r="F12" s="11">
        <v>2727488</v>
      </c>
      <c r="G12" s="11">
        <v>14493</v>
      </c>
      <c r="H12" s="11">
        <v>42534</v>
      </c>
      <c r="I12" s="12">
        <v>0</v>
      </c>
      <c r="J12" s="11">
        <v>13713</v>
      </c>
      <c r="K12" s="11">
        <v>326545</v>
      </c>
      <c r="L12" s="11">
        <v>75982</v>
      </c>
      <c r="M12" s="11">
        <v>39223548</v>
      </c>
      <c r="N12" s="11">
        <v>162602</v>
      </c>
      <c r="O12" s="11">
        <v>169295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</row>
    <row r="13" spans="1:24" ht="15.75" thickBot="1" x14ac:dyDescent="0.3">
      <c r="A13" s="2" t="s">
        <v>2</v>
      </c>
      <c r="B13" s="6" t="s">
        <v>6</v>
      </c>
      <c r="C13" s="6" t="s">
        <v>9</v>
      </c>
      <c r="D13" s="16" t="str">
        <f t="shared" si="0"/>
        <v>cry_WT_RG_UV</v>
      </c>
      <c r="E13" s="10">
        <v>362655</v>
      </c>
      <c r="F13" s="11">
        <v>1972542</v>
      </c>
      <c r="G13" s="11">
        <v>20112</v>
      </c>
      <c r="H13" s="11">
        <v>34247</v>
      </c>
      <c r="I13" s="12">
        <v>0</v>
      </c>
      <c r="J13" s="11">
        <v>83550</v>
      </c>
      <c r="K13" s="11">
        <v>358729</v>
      </c>
      <c r="L13" s="11">
        <v>97701</v>
      </c>
      <c r="M13" s="11">
        <v>68639471</v>
      </c>
      <c r="N13" s="11">
        <v>903685</v>
      </c>
      <c r="O13" s="11">
        <v>582392</v>
      </c>
      <c r="P13" s="11">
        <v>1806</v>
      </c>
      <c r="Q13" s="11">
        <v>30098</v>
      </c>
      <c r="R13" s="11">
        <v>1670</v>
      </c>
      <c r="S13" s="12">
        <v>0</v>
      </c>
      <c r="T13" s="12">
        <v>0</v>
      </c>
      <c r="U13" s="11">
        <v>23858</v>
      </c>
      <c r="V13" s="11">
        <v>8182</v>
      </c>
      <c r="W13" s="12">
        <v>0</v>
      </c>
      <c r="X13" s="11">
        <v>51371</v>
      </c>
    </row>
    <row r="14" spans="1:24" ht="15.75" thickBot="1" x14ac:dyDescent="0.3">
      <c r="A14" s="2" t="s">
        <v>2</v>
      </c>
      <c r="B14" s="6" t="s">
        <v>7</v>
      </c>
      <c r="C14" s="6" t="s">
        <v>9</v>
      </c>
      <c r="D14" s="16" t="str">
        <f t="shared" si="0"/>
        <v>cry_WT_RGB_UV</v>
      </c>
      <c r="E14" s="10">
        <v>161061</v>
      </c>
      <c r="F14" s="11">
        <v>966648</v>
      </c>
      <c r="G14" s="11">
        <v>33881</v>
      </c>
      <c r="H14" s="11">
        <v>41432</v>
      </c>
      <c r="I14" s="11">
        <v>154197</v>
      </c>
      <c r="J14" s="11">
        <v>172430</v>
      </c>
      <c r="K14" s="11">
        <v>517051</v>
      </c>
      <c r="L14" s="11">
        <v>51200</v>
      </c>
      <c r="M14" s="11">
        <v>142415134</v>
      </c>
      <c r="N14" s="11">
        <v>26259</v>
      </c>
      <c r="O14" s="11">
        <v>557515</v>
      </c>
      <c r="P14" s="11">
        <v>67282</v>
      </c>
      <c r="Q14" s="11">
        <v>122954</v>
      </c>
      <c r="R14" s="11">
        <v>35692</v>
      </c>
      <c r="S14" s="11">
        <v>106994</v>
      </c>
      <c r="T14" s="11">
        <v>24490</v>
      </c>
      <c r="U14" s="12">
        <v>0</v>
      </c>
      <c r="V14" s="11">
        <v>16307</v>
      </c>
      <c r="W14" s="11">
        <v>7401</v>
      </c>
      <c r="X14" s="11">
        <v>122704</v>
      </c>
    </row>
    <row r="15" spans="1:24" ht="15.75" thickBot="1" x14ac:dyDescent="0.3">
      <c r="A15" s="2" t="s">
        <v>2</v>
      </c>
      <c r="B15" s="6" t="s">
        <v>7</v>
      </c>
      <c r="C15" s="6" t="s">
        <v>9</v>
      </c>
      <c r="D15" s="16" t="str">
        <f t="shared" si="0"/>
        <v>cry_WT_RGB_UV</v>
      </c>
      <c r="E15" s="10">
        <v>405425</v>
      </c>
      <c r="F15" s="11">
        <v>1052693</v>
      </c>
      <c r="G15" s="11">
        <v>110752</v>
      </c>
      <c r="H15" s="11">
        <v>25120</v>
      </c>
      <c r="I15" s="11">
        <v>38820</v>
      </c>
      <c r="J15" s="11">
        <v>89290</v>
      </c>
      <c r="K15" s="11">
        <v>271880</v>
      </c>
      <c r="L15" s="11">
        <v>86677</v>
      </c>
      <c r="M15" s="11">
        <v>84125630</v>
      </c>
      <c r="N15" s="11">
        <v>39055</v>
      </c>
      <c r="O15" s="11">
        <v>763301</v>
      </c>
      <c r="P15" s="11">
        <v>71263</v>
      </c>
      <c r="Q15" s="11">
        <v>121691</v>
      </c>
      <c r="R15" s="11">
        <v>47015</v>
      </c>
      <c r="S15" s="11">
        <v>168317</v>
      </c>
      <c r="T15" s="11">
        <v>21842</v>
      </c>
      <c r="U15" s="11">
        <v>13270</v>
      </c>
      <c r="V15" s="11">
        <v>99853</v>
      </c>
      <c r="W15" s="11">
        <v>14071</v>
      </c>
      <c r="X15" s="11">
        <v>134996</v>
      </c>
    </row>
    <row r="16" spans="1:24" ht="15.75" thickBot="1" x14ac:dyDescent="0.3">
      <c r="A16" s="2" t="s">
        <v>2</v>
      </c>
      <c r="B16" s="6" t="s">
        <v>7</v>
      </c>
      <c r="C16" s="6" t="s">
        <v>9</v>
      </c>
      <c r="D16" s="16" t="str">
        <f t="shared" si="0"/>
        <v>cry_WT_RGB_UV</v>
      </c>
      <c r="E16" s="10">
        <v>319794</v>
      </c>
      <c r="F16" s="11">
        <v>1506124</v>
      </c>
      <c r="G16" s="11">
        <v>97435</v>
      </c>
      <c r="H16" s="11">
        <v>49261</v>
      </c>
      <c r="I16" s="11">
        <v>54279</v>
      </c>
      <c r="J16" s="11">
        <v>158729</v>
      </c>
      <c r="K16" s="11">
        <v>360583</v>
      </c>
      <c r="L16" s="11">
        <v>132053</v>
      </c>
      <c r="M16" s="11">
        <v>116023834</v>
      </c>
      <c r="N16" s="11">
        <v>34944</v>
      </c>
      <c r="O16" s="11">
        <v>714907</v>
      </c>
      <c r="P16" s="11">
        <v>57965</v>
      </c>
      <c r="Q16" s="11">
        <v>177802</v>
      </c>
      <c r="R16" s="11">
        <v>18078</v>
      </c>
      <c r="S16" s="11">
        <v>121108</v>
      </c>
      <c r="T16" s="11">
        <v>78619</v>
      </c>
      <c r="U16" s="11">
        <v>8570</v>
      </c>
      <c r="V16" s="11">
        <v>38694</v>
      </c>
      <c r="W16" s="11">
        <v>6965</v>
      </c>
      <c r="X16" s="11">
        <v>262080</v>
      </c>
    </row>
    <row r="17" spans="1:24" ht="15.75" thickBot="1" x14ac:dyDescent="0.3">
      <c r="A17" s="2" t="s">
        <v>2</v>
      </c>
      <c r="B17" s="6" t="s">
        <v>7</v>
      </c>
      <c r="C17" s="6" t="s">
        <v>9</v>
      </c>
      <c r="D17" s="16" t="str">
        <f t="shared" si="0"/>
        <v>cry_WT_RGB_UV</v>
      </c>
      <c r="E17" s="10">
        <v>184969</v>
      </c>
      <c r="F17" s="11">
        <v>1310772</v>
      </c>
      <c r="G17" s="11">
        <v>61683</v>
      </c>
      <c r="H17" s="11">
        <v>28071</v>
      </c>
      <c r="I17" s="11">
        <v>113420</v>
      </c>
      <c r="J17" s="11">
        <v>200320</v>
      </c>
      <c r="K17" s="11">
        <v>360714</v>
      </c>
      <c r="L17" s="11">
        <v>133102</v>
      </c>
      <c r="M17" s="11">
        <v>106425382</v>
      </c>
      <c r="N17" s="11">
        <v>42620</v>
      </c>
      <c r="O17" s="11">
        <v>620482</v>
      </c>
      <c r="P17" s="11">
        <v>80011</v>
      </c>
      <c r="Q17" s="11">
        <v>169261</v>
      </c>
      <c r="R17" s="11">
        <v>33453</v>
      </c>
      <c r="S17" s="11">
        <v>169288</v>
      </c>
      <c r="T17" s="11">
        <v>50130</v>
      </c>
      <c r="U17" s="12">
        <v>0</v>
      </c>
      <c r="V17" s="11">
        <v>74066</v>
      </c>
      <c r="W17" s="12">
        <v>0</v>
      </c>
      <c r="X17" s="11">
        <v>181750</v>
      </c>
    </row>
    <row r="18" spans="1:24" ht="30.75" thickBot="1" x14ac:dyDescent="0.3">
      <c r="A18" s="2" t="s">
        <v>3</v>
      </c>
      <c r="B18" s="6" t="s">
        <v>6</v>
      </c>
      <c r="C18" s="6" t="s">
        <v>9</v>
      </c>
      <c r="D18" s="16" t="str">
        <f t="shared" si="0"/>
        <v>tt4_RG_UV</v>
      </c>
      <c r="E18" s="13">
        <v>4272356913</v>
      </c>
      <c r="F18" s="14">
        <v>1419777492</v>
      </c>
      <c r="G18" s="14">
        <v>1052324759</v>
      </c>
      <c r="H18" s="14">
        <v>4028102894</v>
      </c>
      <c r="I18" s="12">
        <v>0</v>
      </c>
      <c r="J18" s="14">
        <v>4451961415</v>
      </c>
      <c r="K18" s="14">
        <v>5443967846</v>
      </c>
      <c r="L18" s="14">
        <v>1905945338</v>
      </c>
      <c r="M18" s="11" t="s">
        <v>21</v>
      </c>
      <c r="N18" s="14">
        <v>2060048875</v>
      </c>
      <c r="O18" s="14">
        <v>7176848875</v>
      </c>
      <c r="P18" s="12">
        <v>0</v>
      </c>
      <c r="Q18" s="14">
        <v>1331189711</v>
      </c>
      <c r="R18" s="12">
        <v>0</v>
      </c>
      <c r="S18" s="12">
        <v>0</v>
      </c>
      <c r="T18" s="12">
        <v>0</v>
      </c>
      <c r="U18" s="14">
        <v>2308745981</v>
      </c>
      <c r="V18" s="14">
        <v>2252025723</v>
      </c>
      <c r="W18" s="12">
        <v>0</v>
      </c>
      <c r="X18" s="12">
        <v>0</v>
      </c>
    </row>
    <row r="19" spans="1:24" ht="30.75" thickBot="1" x14ac:dyDescent="0.3">
      <c r="A19" s="2" t="s">
        <v>3</v>
      </c>
      <c r="B19" s="6" t="s">
        <v>6</v>
      </c>
      <c r="C19" s="6" t="s">
        <v>9</v>
      </c>
      <c r="D19" s="16" t="str">
        <f t="shared" si="0"/>
        <v>tt4_RG_UV</v>
      </c>
      <c r="E19" s="13">
        <v>6300671642</v>
      </c>
      <c r="F19" s="14">
        <v>2793749254</v>
      </c>
      <c r="G19" s="14">
        <v>1740567164</v>
      </c>
      <c r="H19" s="14">
        <v>9449253731</v>
      </c>
      <c r="I19" s="12">
        <v>0</v>
      </c>
      <c r="J19" s="14">
        <v>2800447761</v>
      </c>
      <c r="K19" s="14">
        <v>4864044776</v>
      </c>
      <c r="L19" s="14">
        <v>3300313433</v>
      </c>
      <c r="M19" s="11" t="s">
        <v>22</v>
      </c>
      <c r="N19" s="14">
        <v>2237297015</v>
      </c>
      <c r="O19" s="14">
        <v>3552238806</v>
      </c>
      <c r="P19" s="12">
        <v>0</v>
      </c>
      <c r="Q19" s="14">
        <v>2692537313</v>
      </c>
      <c r="R19" s="12">
        <v>0</v>
      </c>
      <c r="S19" s="12">
        <v>0</v>
      </c>
      <c r="T19" s="12">
        <v>0</v>
      </c>
      <c r="U19" s="14">
        <v>7940895522</v>
      </c>
      <c r="V19" s="14">
        <v>3413134328</v>
      </c>
      <c r="W19" s="12">
        <v>0</v>
      </c>
      <c r="X19" s="12">
        <v>0</v>
      </c>
    </row>
    <row r="20" spans="1:24" ht="15.75" thickBot="1" x14ac:dyDescent="0.3">
      <c r="A20" s="2" t="s">
        <v>3</v>
      </c>
      <c r="B20" s="6" t="s">
        <v>6</v>
      </c>
      <c r="C20" s="6" t="s">
        <v>9</v>
      </c>
      <c r="D20" s="16" t="str">
        <f t="shared" si="0"/>
        <v>tt4_RG_UV</v>
      </c>
      <c r="E20" s="10">
        <v>193995</v>
      </c>
      <c r="F20" s="11">
        <v>539645</v>
      </c>
      <c r="G20" s="11">
        <v>29764</v>
      </c>
      <c r="H20" s="11">
        <v>25900</v>
      </c>
      <c r="I20" s="11">
        <v>36624</v>
      </c>
      <c r="J20" s="11">
        <v>478776</v>
      </c>
      <c r="K20" s="11">
        <v>1148410</v>
      </c>
      <c r="L20" s="11">
        <v>83816</v>
      </c>
      <c r="M20" s="11">
        <v>121187885</v>
      </c>
      <c r="N20" s="11">
        <v>119399</v>
      </c>
      <c r="O20" s="11">
        <v>818992</v>
      </c>
      <c r="P20" s="12">
        <v>0</v>
      </c>
      <c r="Q20" s="11">
        <v>4229</v>
      </c>
      <c r="R20" s="11">
        <v>164685</v>
      </c>
      <c r="S20" s="12">
        <v>0</v>
      </c>
      <c r="T20" s="12">
        <v>0</v>
      </c>
      <c r="U20" s="11">
        <v>11605</v>
      </c>
      <c r="V20" s="11">
        <v>108696</v>
      </c>
      <c r="W20" s="11">
        <v>12477</v>
      </c>
      <c r="X20" s="12">
        <v>0</v>
      </c>
    </row>
    <row r="21" spans="1:24" ht="15.75" thickBot="1" x14ac:dyDescent="0.3">
      <c r="A21" s="2" t="s">
        <v>3</v>
      </c>
      <c r="B21" s="6" t="s">
        <v>6</v>
      </c>
      <c r="C21" s="6" t="s">
        <v>9</v>
      </c>
      <c r="D21" s="16" t="str">
        <f t="shared" si="0"/>
        <v>tt4_RG_UV</v>
      </c>
      <c r="E21" s="10">
        <v>712461</v>
      </c>
      <c r="F21" s="11">
        <v>2153097</v>
      </c>
      <c r="G21" s="11">
        <v>17362</v>
      </c>
      <c r="H21" s="11">
        <v>55217</v>
      </c>
      <c r="I21" s="12">
        <v>0</v>
      </c>
      <c r="J21" s="11">
        <v>98502</v>
      </c>
      <c r="K21" s="11">
        <v>1076652</v>
      </c>
      <c r="L21" s="11">
        <v>250541</v>
      </c>
      <c r="M21" s="11">
        <v>46559598</v>
      </c>
      <c r="N21" s="11">
        <v>3147078</v>
      </c>
      <c r="O21" s="11">
        <v>11404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1">
        <v>27292</v>
      </c>
      <c r="V21" s="11">
        <v>30235</v>
      </c>
      <c r="W21" s="12">
        <v>0</v>
      </c>
      <c r="X21" s="12">
        <v>0</v>
      </c>
    </row>
    <row r="22" spans="1:24" ht="15.75" thickBot="1" x14ac:dyDescent="0.3">
      <c r="A22" s="2" t="s">
        <v>3</v>
      </c>
      <c r="B22" s="6" t="s">
        <v>7</v>
      </c>
      <c r="C22" s="6" t="s">
        <v>9</v>
      </c>
      <c r="D22" s="16" t="str">
        <f t="shared" si="0"/>
        <v>tt4_RGB_UV</v>
      </c>
      <c r="E22" s="10">
        <v>125158</v>
      </c>
      <c r="F22" s="11">
        <v>442852</v>
      </c>
      <c r="G22" s="11">
        <v>38338</v>
      </c>
      <c r="H22" s="11">
        <v>24076</v>
      </c>
      <c r="I22" s="11">
        <v>11990</v>
      </c>
      <c r="J22" s="11">
        <v>674207</v>
      </c>
      <c r="K22" s="11">
        <v>2457180</v>
      </c>
      <c r="L22" s="11">
        <v>22403</v>
      </c>
      <c r="M22" s="11">
        <v>94005580</v>
      </c>
      <c r="N22" s="11">
        <v>106390</v>
      </c>
      <c r="O22" s="11">
        <v>646585</v>
      </c>
      <c r="P22" s="12">
        <v>0</v>
      </c>
      <c r="Q22" s="12">
        <v>0</v>
      </c>
      <c r="R22" s="11">
        <v>33744</v>
      </c>
      <c r="S22" s="12">
        <v>0</v>
      </c>
      <c r="T22" s="12">
        <v>0</v>
      </c>
      <c r="U22" s="11">
        <v>10434</v>
      </c>
      <c r="V22" s="11">
        <v>77466</v>
      </c>
      <c r="W22" s="11">
        <v>13465</v>
      </c>
      <c r="X22" s="12">
        <v>0</v>
      </c>
    </row>
    <row r="23" spans="1:24" ht="15.75" thickBot="1" x14ac:dyDescent="0.3">
      <c r="A23" s="2" t="s">
        <v>3</v>
      </c>
      <c r="B23" s="6" t="s">
        <v>7</v>
      </c>
      <c r="C23" s="6" t="s">
        <v>9</v>
      </c>
      <c r="D23" s="16" t="str">
        <f t="shared" si="0"/>
        <v>tt4_RGB_UV</v>
      </c>
      <c r="E23" s="10">
        <v>229896</v>
      </c>
      <c r="F23" s="11">
        <v>366236</v>
      </c>
      <c r="G23" s="11">
        <v>28584</v>
      </c>
      <c r="H23" s="11">
        <v>16894</v>
      </c>
      <c r="I23" s="11">
        <v>33616</v>
      </c>
      <c r="J23" s="11">
        <v>624227</v>
      </c>
      <c r="K23" s="11">
        <v>1718538</v>
      </c>
      <c r="L23" s="11">
        <v>42606</v>
      </c>
      <c r="M23" s="11">
        <v>127065800</v>
      </c>
      <c r="N23" s="11">
        <v>68477</v>
      </c>
      <c r="O23" s="11">
        <v>906382</v>
      </c>
      <c r="P23" s="12">
        <v>0</v>
      </c>
      <c r="Q23" s="12">
        <v>0</v>
      </c>
      <c r="R23" s="11">
        <v>55612</v>
      </c>
      <c r="S23" s="12">
        <v>0</v>
      </c>
      <c r="T23" s="12">
        <v>0</v>
      </c>
      <c r="U23" s="11">
        <v>7215</v>
      </c>
      <c r="V23" s="11">
        <v>61781</v>
      </c>
      <c r="W23" s="11">
        <v>17112</v>
      </c>
      <c r="X23" s="12">
        <v>0</v>
      </c>
    </row>
    <row r="24" spans="1:24" ht="15.75" thickBot="1" x14ac:dyDescent="0.3">
      <c r="A24" s="2" t="s">
        <v>3</v>
      </c>
      <c r="B24" s="6" t="s">
        <v>7</v>
      </c>
      <c r="C24" s="6" t="s">
        <v>9</v>
      </c>
      <c r="D24" s="16" t="str">
        <f t="shared" si="0"/>
        <v>tt4_RGB_UV</v>
      </c>
      <c r="E24" s="10">
        <v>229867</v>
      </c>
      <c r="F24" s="11">
        <v>931266</v>
      </c>
      <c r="G24" s="11">
        <v>19175</v>
      </c>
      <c r="H24" s="11">
        <v>11014</v>
      </c>
      <c r="I24" s="11">
        <v>35100</v>
      </c>
      <c r="J24" s="11">
        <v>845450</v>
      </c>
      <c r="K24" s="11">
        <v>2963953</v>
      </c>
      <c r="L24" s="11">
        <v>60612</v>
      </c>
      <c r="M24" s="11">
        <v>103886862</v>
      </c>
      <c r="N24" s="11">
        <v>112803</v>
      </c>
      <c r="O24" s="11">
        <v>1041788</v>
      </c>
      <c r="P24" s="12">
        <v>0</v>
      </c>
      <c r="Q24" s="12">
        <v>0</v>
      </c>
      <c r="R24" s="11">
        <v>120005</v>
      </c>
      <c r="S24" s="12">
        <v>0</v>
      </c>
      <c r="T24" s="12">
        <v>0</v>
      </c>
      <c r="U24" s="11">
        <v>14858</v>
      </c>
      <c r="V24" s="11">
        <v>67301</v>
      </c>
      <c r="W24" s="11">
        <v>36397</v>
      </c>
      <c r="X24" s="12">
        <v>0</v>
      </c>
    </row>
    <row r="25" spans="1:24" ht="15.75" thickBot="1" x14ac:dyDescent="0.3">
      <c r="A25" s="2" t="s">
        <v>3</v>
      </c>
      <c r="B25" s="6" t="s">
        <v>7</v>
      </c>
      <c r="C25" s="6" t="s">
        <v>9</v>
      </c>
      <c r="D25" s="16" t="str">
        <f t="shared" si="0"/>
        <v>tt4_RGB_UV</v>
      </c>
      <c r="E25" s="10">
        <v>143656</v>
      </c>
      <c r="F25" s="11">
        <v>573095</v>
      </c>
      <c r="G25" s="11">
        <v>23240</v>
      </c>
      <c r="H25" s="11">
        <v>26915</v>
      </c>
      <c r="I25" s="11">
        <v>16325</v>
      </c>
      <c r="J25" s="11">
        <v>912727</v>
      </c>
      <c r="K25" s="11">
        <v>2417144</v>
      </c>
      <c r="L25" s="11">
        <v>51359</v>
      </c>
      <c r="M25" s="11">
        <v>123205083</v>
      </c>
      <c r="N25" s="11">
        <v>105822</v>
      </c>
      <c r="O25" s="11">
        <v>1260868</v>
      </c>
      <c r="P25" s="12">
        <v>0</v>
      </c>
      <c r="Q25" s="12">
        <v>0</v>
      </c>
      <c r="R25" s="11">
        <v>151622</v>
      </c>
      <c r="S25" s="12">
        <v>0</v>
      </c>
      <c r="T25" s="12">
        <v>0</v>
      </c>
      <c r="U25" s="11">
        <v>9318</v>
      </c>
      <c r="V25" s="11">
        <v>85978</v>
      </c>
      <c r="W25" s="11">
        <v>27148</v>
      </c>
      <c r="X25" s="12">
        <v>0</v>
      </c>
    </row>
    <row r="26" spans="1:24" ht="15.75" thickBot="1" x14ac:dyDescent="0.3">
      <c r="A26" s="2" t="s">
        <v>4</v>
      </c>
      <c r="B26" s="6" t="s">
        <v>6</v>
      </c>
      <c r="C26" s="6" t="s">
        <v>9</v>
      </c>
      <c r="D26" s="16" t="str">
        <f t="shared" si="0"/>
        <v>tt4_WT_RG_UV</v>
      </c>
      <c r="E26" s="10">
        <v>426697</v>
      </c>
      <c r="F26" s="11">
        <v>3797622</v>
      </c>
      <c r="G26" s="11">
        <v>5057</v>
      </c>
      <c r="H26" s="11">
        <v>36516</v>
      </c>
      <c r="I26" s="11">
        <v>14332</v>
      </c>
      <c r="J26" s="11">
        <v>137485</v>
      </c>
      <c r="K26" s="11">
        <v>445405</v>
      </c>
      <c r="L26" s="11">
        <v>196616</v>
      </c>
      <c r="M26" s="11">
        <v>110786948</v>
      </c>
      <c r="N26" s="11">
        <v>2240576</v>
      </c>
      <c r="O26" s="11">
        <v>1016607</v>
      </c>
      <c r="P26" s="11">
        <v>213694</v>
      </c>
      <c r="Q26" s="11">
        <v>63467</v>
      </c>
      <c r="R26" s="11">
        <v>17674</v>
      </c>
      <c r="S26" s="11">
        <v>75805</v>
      </c>
      <c r="T26" s="12">
        <v>0</v>
      </c>
      <c r="U26" s="11">
        <v>26340</v>
      </c>
      <c r="V26" s="11">
        <v>36640</v>
      </c>
      <c r="W26" s="11">
        <v>21524</v>
      </c>
      <c r="X26" s="12">
        <v>0</v>
      </c>
    </row>
    <row r="27" spans="1:24" ht="15.75" thickBot="1" x14ac:dyDescent="0.3">
      <c r="A27" s="2" t="s">
        <v>4</v>
      </c>
      <c r="B27" s="6" t="s">
        <v>6</v>
      </c>
      <c r="C27" s="6" t="s">
        <v>9</v>
      </c>
      <c r="D27" s="16" t="str">
        <f t="shared" si="0"/>
        <v>tt4_WT_RG_UV</v>
      </c>
      <c r="E27" s="10">
        <v>567659</v>
      </c>
      <c r="F27" s="11">
        <v>3649571</v>
      </c>
      <c r="G27" s="11">
        <v>23048</v>
      </c>
      <c r="H27" s="11">
        <v>59023</v>
      </c>
      <c r="I27" s="11">
        <v>11731</v>
      </c>
      <c r="J27" s="11">
        <v>125972</v>
      </c>
      <c r="K27" s="11">
        <v>585993</v>
      </c>
      <c r="L27" s="11">
        <v>232842</v>
      </c>
      <c r="M27" s="11">
        <v>115727804</v>
      </c>
      <c r="N27" s="11">
        <v>2114865</v>
      </c>
      <c r="O27" s="11">
        <v>1230013</v>
      </c>
      <c r="P27" s="11">
        <v>157019</v>
      </c>
      <c r="Q27" s="11">
        <v>76498</v>
      </c>
      <c r="R27" s="11">
        <v>3206</v>
      </c>
      <c r="S27" s="11">
        <v>63272</v>
      </c>
      <c r="T27" s="12">
        <v>0</v>
      </c>
      <c r="U27" s="11">
        <v>42563</v>
      </c>
      <c r="V27" s="11">
        <v>34088</v>
      </c>
      <c r="W27" s="11">
        <v>16199</v>
      </c>
      <c r="X27" s="12">
        <v>0</v>
      </c>
    </row>
    <row r="28" spans="1:24" ht="15.75" thickBot="1" x14ac:dyDescent="0.3">
      <c r="A28" s="2" t="s">
        <v>4</v>
      </c>
      <c r="B28" s="6" t="s">
        <v>6</v>
      </c>
      <c r="C28" s="6" t="s">
        <v>9</v>
      </c>
      <c r="D28" s="16" t="str">
        <f t="shared" si="0"/>
        <v>tt4_WT_RG_UV</v>
      </c>
      <c r="E28" s="10">
        <v>446777</v>
      </c>
      <c r="F28" s="11">
        <v>3718413</v>
      </c>
      <c r="G28" s="11">
        <v>16961</v>
      </c>
      <c r="H28" s="11">
        <v>50614</v>
      </c>
      <c r="I28" s="11">
        <v>10013</v>
      </c>
      <c r="J28" s="11">
        <v>138787</v>
      </c>
      <c r="K28" s="11">
        <v>341983</v>
      </c>
      <c r="L28" s="11">
        <v>190995</v>
      </c>
      <c r="M28" s="11">
        <v>58503937</v>
      </c>
      <c r="N28" s="11">
        <v>2246088</v>
      </c>
      <c r="O28" s="11">
        <v>932078</v>
      </c>
      <c r="P28" s="11">
        <v>165291</v>
      </c>
      <c r="Q28" s="11">
        <v>63592</v>
      </c>
      <c r="R28" s="11">
        <v>14615</v>
      </c>
      <c r="S28" s="11">
        <v>67450</v>
      </c>
      <c r="T28" s="12">
        <v>0</v>
      </c>
      <c r="U28" s="11">
        <v>34163</v>
      </c>
      <c r="V28" s="11">
        <v>59505</v>
      </c>
      <c r="W28" s="11">
        <v>26623</v>
      </c>
      <c r="X28" s="12">
        <v>0</v>
      </c>
    </row>
    <row r="29" spans="1:24" ht="15.75" thickBot="1" x14ac:dyDescent="0.3">
      <c r="A29" s="2" t="s">
        <v>4</v>
      </c>
      <c r="B29" s="6" t="s">
        <v>6</v>
      </c>
      <c r="C29" s="6" t="s">
        <v>9</v>
      </c>
      <c r="D29" s="16" t="str">
        <f t="shared" si="0"/>
        <v>tt4_WT_RG_UV</v>
      </c>
      <c r="E29" s="10">
        <v>691128</v>
      </c>
      <c r="F29" s="11">
        <v>3777390</v>
      </c>
      <c r="G29" s="11">
        <v>7762</v>
      </c>
      <c r="H29" s="11">
        <v>21540</v>
      </c>
      <c r="I29" s="11">
        <v>13423</v>
      </c>
      <c r="J29" s="11">
        <v>140547</v>
      </c>
      <c r="K29" s="11">
        <v>410792</v>
      </c>
      <c r="L29" s="11">
        <v>171431</v>
      </c>
      <c r="M29" s="11">
        <v>92245584</v>
      </c>
      <c r="N29" s="11">
        <v>20346291</v>
      </c>
      <c r="O29" s="11">
        <v>1002445</v>
      </c>
      <c r="P29" s="11">
        <v>146547</v>
      </c>
      <c r="Q29" s="11">
        <v>46493</v>
      </c>
      <c r="R29" s="11">
        <v>19430</v>
      </c>
      <c r="S29" s="11">
        <v>49078</v>
      </c>
      <c r="T29" s="12">
        <v>0</v>
      </c>
      <c r="U29" s="11">
        <v>42378</v>
      </c>
      <c r="V29" s="11">
        <v>24868</v>
      </c>
      <c r="W29" s="11">
        <v>15833</v>
      </c>
      <c r="X29" s="12">
        <v>0</v>
      </c>
    </row>
    <row r="30" spans="1:24" ht="15.75" thickBot="1" x14ac:dyDescent="0.3">
      <c r="A30" s="2" t="s">
        <v>4</v>
      </c>
      <c r="B30" s="6" t="s">
        <v>7</v>
      </c>
      <c r="C30" s="6" t="s">
        <v>9</v>
      </c>
      <c r="D30" s="16" t="str">
        <f t="shared" si="0"/>
        <v>tt4_WT_RGB_UV</v>
      </c>
      <c r="E30" s="10">
        <v>145917</v>
      </c>
      <c r="F30" s="11">
        <v>845932</v>
      </c>
      <c r="G30" s="11">
        <v>8774</v>
      </c>
      <c r="H30" s="11">
        <v>39180</v>
      </c>
      <c r="I30" s="11">
        <v>36317</v>
      </c>
      <c r="J30" s="11">
        <v>79556</v>
      </c>
      <c r="K30" s="11">
        <v>203176</v>
      </c>
      <c r="L30" s="11">
        <v>79081</v>
      </c>
      <c r="M30" s="11">
        <v>111587833</v>
      </c>
      <c r="N30" s="11">
        <v>19891</v>
      </c>
      <c r="O30" s="11">
        <v>656773</v>
      </c>
      <c r="P30" s="11">
        <v>162834</v>
      </c>
      <c r="Q30" s="11">
        <v>91212</v>
      </c>
      <c r="R30" s="11">
        <v>98509</v>
      </c>
      <c r="S30" s="11">
        <v>380498</v>
      </c>
      <c r="T30" s="12">
        <v>0</v>
      </c>
      <c r="U30" s="11">
        <v>24694</v>
      </c>
      <c r="V30" s="11">
        <v>149230</v>
      </c>
      <c r="W30" s="11">
        <v>44618</v>
      </c>
      <c r="X30" s="12">
        <v>0</v>
      </c>
    </row>
    <row r="31" spans="1:24" ht="15.75" thickBot="1" x14ac:dyDescent="0.3">
      <c r="A31" s="2" t="s">
        <v>4</v>
      </c>
      <c r="B31" s="6" t="s">
        <v>7</v>
      </c>
      <c r="C31" s="6" t="s">
        <v>9</v>
      </c>
      <c r="D31" s="16" t="str">
        <f t="shared" si="0"/>
        <v>tt4_WT_RGB_UV</v>
      </c>
      <c r="E31" s="10">
        <v>190067</v>
      </c>
      <c r="F31" s="11">
        <v>865762</v>
      </c>
      <c r="G31" s="11">
        <v>7498</v>
      </c>
      <c r="H31" s="11">
        <v>35010</v>
      </c>
      <c r="I31" s="11">
        <v>27855</v>
      </c>
      <c r="J31" s="11">
        <v>35342</v>
      </c>
      <c r="K31" s="11">
        <v>178667</v>
      </c>
      <c r="L31" s="11">
        <v>45617</v>
      </c>
      <c r="M31" s="11">
        <v>90025609</v>
      </c>
      <c r="N31" s="11">
        <v>27773</v>
      </c>
      <c r="O31" s="11">
        <v>734229</v>
      </c>
      <c r="P31" s="11">
        <v>295494</v>
      </c>
      <c r="Q31" s="11">
        <v>150722</v>
      </c>
      <c r="R31" s="11">
        <v>129811</v>
      </c>
      <c r="S31" s="11">
        <v>757293</v>
      </c>
      <c r="T31" s="12">
        <v>0</v>
      </c>
      <c r="U31" s="11">
        <v>12953</v>
      </c>
      <c r="V31" s="11">
        <v>33039</v>
      </c>
      <c r="W31" s="11">
        <v>70806</v>
      </c>
      <c r="X31" s="12">
        <v>0</v>
      </c>
    </row>
    <row r="32" spans="1:24" ht="30.75" thickBot="1" x14ac:dyDescent="0.3">
      <c r="A32" s="2" t="s">
        <v>4</v>
      </c>
      <c r="B32" s="6" t="s">
        <v>7</v>
      </c>
      <c r="C32" s="6" t="s">
        <v>9</v>
      </c>
      <c r="D32" s="16" t="str">
        <f t="shared" si="0"/>
        <v>tt4_WT_RGB_UV</v>
      </c>
      <c r="E32" s="13">
        <v>1427006897</v>
      </c>
      <c r="F32" s="14">
        <v>7405406897</v>
      </c>
      <c r="G32" s="14">
        <v>1490586207</v>
      </c>
      <c r="H32" s="14">
        <v>6141310345</v>
      </c>
      <c r="I32" s="14">
        <v>1662517241</v>
      </c>
      <c r="J32" s="14">
        <v>7370275862</v>
      </c>
      <c r="K32" s="14">
        <v>2827531034</v>
      </c>
      <c r="L32" s="14">
        <v>7866206897</v>
      </c>
      <c r="M32" s="11" t="s">
        <v>23</v>
      </c>
      <c r="N32" s="14">
        <v>2537068966</v>
      </c>
      <c r="O32" s="14">
        <v>6847468966</v>
      </c>
      <c r="P32" s="14">
        <v>2708824138</v>
      </c>
      <c r="Q32" s="14">
        <v>1473713793</v>
      </c>
      <c r="R32" s="14">
        <v>1262803448</v>
      </c>
      <c r="S32" s="14">
        <v>495932069</v>
      </c>
      <c r="T32" s="12">
        <v>0</v>
      </c>
      <c r="U32" s="14">
        <v>4706896552</v>
      </c>
      <c r="V32" s="14">
        <v>1053031034</v>
      </c>
      <c r="W32" s="14">
        <v>6123724138</v>
      </c>
      <c r="X32" s="12">
        <v>0</v>
      </c>
    </row>
    <row r="33" spans="1:24" ht="15.75" thickBot="1" x14ac:dyDescent="0.3">
      <c r="A33" s="2" t="s">
        <v>4</v>
      </c>
      <c r="B33" s="6" t="s">
        <v>7</v>
      </c>
      <c r="C33" s="6" t="s">
        <v>9</v>
      </c>
      <c r="D33" s="16" t="str">
        <f t="shared" si="0"/>
        <v>tt4_WT_RGB_UV</v>
      </c>
      <c r="E33" s="10">
        <v>184125</v>
      </c>
      <c r="F33" s="11">
        <v>1018914</v>
      </c>
      <c r="G33" s="11">
        <v>22405</v>
      </c>
      <c r="H33" s="11">
        <v>52089</v>
      </c>
      <c r="I33" s="11">
        <v>13457</v>
      </c>
      <c r="J33" s="11">
        <v>52350</v>
      </c>
      <c r="K33" s="11">
        <v>207151</v>
      </c>
      <c r="L33" s="11">
        <v>62310</v>
      </c>
      <c r="M33" s="11">
        <v>108348382</v>
      </c>
      <c r="N33" s="11">
        <v>96010</v>
      </c>
      <c r="O33" s="11">
        <v>646492</v>
      </c>
      <c r="P33" s="11">
        <v>225523</v>
      </c>
      <c r="Q33" s="11">
        <v>135015</v>
      </c>
      <c r="R33" s="11">
        <v>130350</v>
      </c>
      <c r="S33" s="11">
        <v>539673</v>
      </c>
      <c r="T33" s="11">
        <v>6646</v>
      </c>
      <c r="U33" s="11">
        <v>14955</v>
      </c>
      <c r="V33" s="11">
        <v>35480</v>
      </c>
      <c r="W33" s="11">
        <v>68745</v>
      </c>
      <c r="X33" s="12">
        <v>0</v>
      </c>
    </row>
    <row r="34" spans="1:24" ht="15.75" thickBot="1" x14ac:dyDescent="0.3">
      <c r="A34" s="2" t="s">
        <v>1</v>
      </c>
      <c r="B34" s="6" t="s">
        <v>6</v>
      </c>
      <c r="C34" s="6" t="s">
        <v>10</v>
      </c>
      <c r="D34" s="16" t="str">
        <f t="shared" si="0"/>
        <v>cry_RG_control</v>
      </c>
      <c r="E34" s="10">
        <v>261491</v>
      </c>
      <c r="F34" s="11">
        <v>1400321</v>
      </c>
      <c r="G34" s="11">
        <v>28165</v>
      </c>
      <c r="H34" s="11">
        <v>91175</v>
      </c>
      <c r="I34" s="11">
        <v>56697</v>
      </c>
      <c r="J34" s="11">
        <v>32863</v>
      </c>
      <c r="K34" s="11">
        <v>364323</v>
      </c>
      <c r="L34" s="11">
        <v>126481</v>
      </c>
      <c r="M34" s="11">
        <v>83986244</v>
      </c>
      <c r="N34" s="11">
        <v>23803</v>
      </c>
      <c r="O34" s="11">
        <v>286896</v>
      </c>
      <c r="P34" s="12">
        <v>0</v>
      </c>
      <c r="Q34" s="11">
        <v>7381</v>
      </c>
      <c r="R34" s="11">
        <v>3170</v>
      </c>
      <c r="S34" s="12">
        <v>0</v>
      </c>
      <c r="T34" s="12">
        <v>0</v>
      </c>
      <c r="U34" s="12">
        <v>0</v>
      </c>
      <c r="V34" s="11">
        <v>49448</v>
      </c>
      <c r="W34" s="12">
        <v>0</v>
      </c>
      <c r="X34" s="12">
        <v>0</v>
      </c>
    </row>
    <row r="35" spans="1:24" ht="15.75" thickBot="1" x14ac:dyDescent="0.3">
      <c r="A35" s="2" t="s">
        <v>1</v>
      </c>
      <c r="B35" s="6" t="s">
        <v>6</v>
      </c>
      <c r="C35" s="6" t="s">
        <v>10</v>
      </c>
      <c r="D35" s="16" t="str">
        <f t="shared" si="0"/>
        <v>cry_RG_control</v>
      </c>
      <c r="E35" s="10">
        <v>495123</v>
      </c>
      <c r="F35" s="11">
        <v>2595959</v>
      </c>
      <c r="G35" s="11">
        <v>10814</v>
      </c>
      <c r="H35" s="11">
        <v>53281</v>
      </c>
      <c r="I35" s="11">
        <v>92549</v>
      </c>
      <c r="J35" s="11">
        <v>45300</v>
      </c>
      <c r="K35" s="11">
        <v>491560</v>
      </c>
      <c r="L35" s="11">
        <v>130359</v>
      </c>
      <c r="M35" s="11">
        <v>85800699</v>
      </c>
      <c r="N35" s="11">
        <v>101562</v>
      </c>
      <c r="O35" s="11">
        <v>228512</v>
      </c>
      <c r="P35" s="12">
        <v>0</v>
      </c>
      <c r="Q35" s="12">
        <v>0</v>
      </c>
      <c r="R35" s="11">
        <v>9301</v>
      </c>
      <c r="S35" s="12">
        <v>0</v>
      </c>
      <c r="T35" s="12">
        <v>0</v>
      </c>
      <c r="U35" s="12">
        <v>0</v>
      </c>
      <c r="V35" s="11">
        <v>13091</v>
      </c>
      <c r="W35" s="12">
        <v>0</v>
      </c>
      <c r="X35" s="12">
        <v>0</v>
      </c>
    </row>
    <row r="36" spans="1:24" ht="30.75" thickBot="1" x14ac:dyDescent="0.3">
      <c r="A36" s="2" t="s">
        <v>1</v>
      </c>
      <c r="B36" s="6" t="s">
        <v>6</v>
      </c>
      <c r="C36" s="6" t="s">
        <v>10</v>
      </c>
      <c r="D36" s="16" t="str">
        <f t="shared" si="0"/>
        <v>cry_RG_control</v>
      </c>
      <c r="E36" s="13">
        <v>2305232558</v>
      </c>
      <c r="F36" s="14">
        <v>2701472093</v>
      </c>
      <c r="G36" s="14">
        <v>2024767442</v>
      </c>
      <c r="H36" s="14">
        <v>1419267442</v>
      </c>
      <c r="I36" s="14">
        <v>3304418605</v>
      </c>
      <c r="J36" s="14">
        <v>1117325581</v>
      </c>
      <c r="K36" s="14">
        <v>6178430233</v>
      </c>
      <c r="L36" s="14">
        <v>1530104651</v>
      </c>
      <c r="M36" s="11" t="s">
        <v>24</v>
      </c>
      <c r="N36" s="14">
        <v>2129744186</v>
      </c>
      <c r="O36" s="14">
        <v>2057686047</v>
      </c>
      <c r="P36" s="12">
        <v>0</v>
      </c>
      <c r="Q36" s="14">
        <v>411627907</v>
      </c>
      <c r="R36" s="14">
        <v>186627907</v>
      </c>
      <c r="S36" s="12">
        <v>0</v>
      </c>
      <c r="T36" s="14">
        <v>6554651163</v>
      </c>
      <c r="U36" s="12">
        <v>0</v>
      </c>
      <c r="V36" s="14">
        <v>2138139535</v>
      </c>
      <c r="W36" s="12">
        <v>0</v>
      </c>
      <c r="X36" s="12">
        <v>0</v>
      </c>
    </row>
    <row r="37" spans="1:24" ht="15.75" thickBot="1" x14ac:dyDescent="0.3">
      <c r="A37" s="2" t="s">
        <v>1</v>
      </c>
      <c r="B37" s="6" t="s">
        <v>6</v>
      </c>
      <c r="C37" s="6" t="s">
        <v>10</v>
      </c>
      <c r="D37" s="16" t="str">
        <f t="shared" si="0"/>
        <v>cry_RG_control</v>
      </c>
      <c r="E37" s="10">
        <v>380307</v>
      </c>
      <c r="F37" s="11">
        <v>3128429</v>
      </c>
      <c r="G37" s="11">
        <v>24100</v>
      </c>
      <c r="H37" s="11">
        <v>85070</v>
      </c>
      <c r="I37" s="11">
        <v>151759</v>
      </c>
      <c r="J37" s="11">
        <v>71622</v>
      </c>
      <c r="K37" s="11">
        <v>51184</v>
      </c>
      <c r="L37" s="11">
        <v>167280</v>
      </c>
      <c r="M37" s="11">
        <v>82902345</v>
      </c>
      <c r="N37" s="11">
        <v>86219</v>
      </c>
      <c r="O37" s="11">
        <v>206933</v>
      </c>
      <c r="P37" s="11">
        <v>1850</v>
      </c>
      <c r="Q37" s="11">
        <v>3498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</row>
    <row r="38" spans="1:24" ht="15.75" thickBot="1" x14ac:dyDescent="0.3">
      <c r="A38" s="2" t="s">
        <v>1</v>
      </c>
      <c r="B38" s="6" t="s">
        <v>7</v>
      </c>
      <c r="C38" s="6" t="s">
        <v>10</v>
      </c>
      <c r="D38" s="16" t="str">
        <f t="shared" si="0"/>
        <v>cry_RGB_control</v>
      </c>
      <c r="E38" s="10">
        <v>204275</v>
      </c>
      <c r="F38" s="11">
        <v>1574555</v>
      </c>
      <c r="G38" s="11">
        <v>12742</v>
      </c>
      <c r="H38" s="11">
        <v>11014</v>
      </c>
      <c r="I38" s="11">
        <v>55403</v>
      </c>
      <c r="J38" s="11">
        <v>35945</v>
      </c>
      <c r="K38" s="11">
        <v>225953</v>
      </c>
      <c r="L38" s="11">
        <v>97747</v>
      </c>
      <c r="M38" s="11">
        <v>43695708</v>
      </c>
      <c r="N38" s="11">
        <v>97055</v>
      </c>
      <c r="O38" s="11">
        <v>233015</v>
      </c>
      <c r="P38" s="12">
        <v>0</v>
      </c>
      <c r="Q38" s="11">
        <v>10562</v>
      </c>
      <c r="R38" s="11">
        <v>2201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</row>
    <row r="39" spans="1:24" ht="15.75" thickBot="1" x14ac:dyDescent="0.3">
      <c r="A39" s="2" t="s">
        <v>1</v>
      </c>
      <c r="B39" s="6" t="s">
        <v>7</v>
      </c>
      <c r="C39" s="6" t="s">
        <v>10</v>
      </c>
      <c r="D39" s="16" t="str">
        <f t="shared" si="0"/>
        <v>cry_RGB_control</v>
      </c>
      <c r="E39" s="10">
        <v>582974</v>
      </c>
      <c r="F39" s="11">
        <v>3531328</v>
      </c>
      <c r="G39" s="11">
        <v>6496</v>
      </c>
      <c r="H39" s="11">
        <v>38816</v>
      </c>
      <c r="I39" s="11">
        <v>22675</v>
      </c>
      <c r="J39" s="11">
        <v>35462</v>
      </c>
      <c r="K39" s="11">
        <v>330524</v>
      </c>
      <c r="L39" s="11">
        <v>68604</v>
      </c>
      <c r="M39" s="11">
        <v>50514464</v>
      </c>
      <c r="N39" s="11">
        <v>432186</v>
      </c>
      <c r="O39" s="11">
        <v>703741</v>
      </c>
      <c r="P39" s="12">
        <v>0</v>
      </c>
      <c r="Q39" s="12">
        <v>0</v>
      </c>
      <c r="R39" s="11">
        <v>9012</v>
      </c>
      <c r="S39" s="12">
        <v>0</v>
      </c>
      <c r="T39" s="11">
        <v>2328</v>
      </c>
      <c r="U39" s="11">
        <v>49977</v>
      </c>
      <c r="V39" s="12">
        <v>0</v>
      </c>
      <c r="W39" s="11">
        <v>18540</v>
      </c>
      <c r="X39" s="11">
        <v>3748</v>
      </c>
    </row>
    <row r="40" spans="1:24" ht="15.75" thickBot="1" x14ac:dyDescent="0.3">
      <c r="A40" s="2" t="s">
        <v>1</v>
      </c>
      <c r="B40" s="6" t="s">
        <v>7</v>
      </c>
      <c r="C40" s="6" t="s">
        <v>10</v>
      </c>
      <c r="D40" s="16" t="str">
        <f t="shared" si="0"/>
        <v>cry_RGB_control</v>
      </c>
      <c r="E40" s="10">
        <v>172911</v>
      </c>
      <c r="F40" s="11">
        <v>2207288</v>
      </c>
      <c r="G40" s="11">
        <v>20270</v>
      </c>
      <c r="H40" s="11">
        <v>47767</v>
      </c>
      <c r="I40" s="11">
        <v>37556</v>
      </c>
      <c r="J40" s="11">
        <v>82743</v>
      </c>
      <c r="K40" s="11">
        <v>391817</v>
      </c>
      <c r="L40" s="11">
        <v>117553</v>
      </c>
      <c r="M40" s="11">
        <v>61526398</v>
      </c>
      <c r="N40" s="11">
        <v>212176</v>
      </c>
      <c r="O40" s="11">
        <v>355922</v>
      </c>
      <c r="P40" s="12">
        <v>0</v>
      </c>
      <c r="Q40" s="11">
        <v>16593</v>
      </c>
      <c r="R40" s="11">
        <v>12993</v>
      </c>
      <c r="S40" s="12">
        <v>0</v>
      </c>
      <c r="T40" s="11">
        <v>20575</v>
      </c>
      <c r="U40" s="11">
        <v>9603</v>
      </c>
      <c r="V40" s="11">
        <v>29045</v>
      </c>
      <c r="W40" s="12">
        <v>0</v>
      </c>
      <c r="X40" s="12">
        <v>0</v>
      </c>
    </row>
    <row r="41" spans="1:24" ht="15.75" thickBot="1" x14ac:dyDescent="0.3">
      <c r="A41" s="2" t="s">
        <v>1</v>
      </c>
      <c r="B41" s="6" t="s">
        <v>7</v>
      </c>
      <c r="C41" s="6" t="s">
        <v>10</v>
      </c>
      <c r="D41" s="16" t="str">
        <f t="shared" si="0"/>
        <v>cry_RGB_control</v>
      </c>
      <c r="E41" s="10">
        <v>168817</v>
      </c>
      <c r="F41" s="11">
        <v>693601</v>
      </c>
      <c r="G41" s="11">
        <v>25106</v>
      </c>
      <c r="H41" s="11">
        <v>28238</v>
      </c>
      <c r="I41" s="11">
        <v>31269</v>
      </c>
      <c r="J41" s="11">
        <v>36274</v>
      </c>
      <c r="K41" s="11">
        <v>227308</v>
      </c>
      <c r="L41" s="11">
        <v>48182</v>
      </c>
      <c r="M41" s="11">
        <v>109296534</v>
      </c>
      <c r="N41" s="11">
        <v>42113</v>
      </c>
      <c r="O41" s="11">
        <v>646275</v>
      </c>
      <c r="P41" s="11">
        <v>19621</v>
      </c>
      <c r="Q41" s="11">
        <v>1244</v>
      </c>
      <c r="R41" s="11">
        <v>37388</v>
      </c>
      <c r="S41" s="11">
        <v>21927</v>
      </c>
      <c r="T41" s="11">
        <v>8677</v>
      </c>
      <c r="U41" s="11">
        <v>40263</v>
      </c>
      <c r="V41" s="11">
        <v>136434</v>
      </c>
      <c r="W41" s="11">
        <v>11387</v>
      </c>
      <c r="X41" s="12">
        <v>0</v>
      </c>
    </row>
    <row r="42" spans="1:24" ht="15.75" thickBot="1" x14ac:dyDescent="0.3">
      <c r="A42" s="2" t="s">
        <v>2</v>
      </c>
      <c r="B42" s="6" t="s">
        <v>6</v>
      </c>
      <c r="C42" s="6" t="s">
        <v>10</v>
      </c>
      <c r="D42" s="16" t="str">
        <f t="shared" si="0"/>
        <v>cry_WT_RG_control</v>
      </c>
      <c r="E42" s="10">
        <v>479294</v>
      </c>
      <c r="F42" s="11">
        <v>1889062</v>
      </c>
      <c r="G42" s="11">
        <v>15632</v>
      </c>
      <c r="H42" s="11">
        <v>27977</v>
      </c>
      <c r="I42" s="11">
        <v>178304</v>
      </c>
      <c r="J42" s="11">
        <v>165692</v>
      </c>
      <c r="K42" s="11">
        <v>387864</v>
      </c>
      <c r="L42" s="11">
        <v>127179</v>
      </c>
      <c r="M42" s="11">
        <v>127167281</v>
      </c>
      <c r="N42" s="11">
        <v>16958</v>
      </c>
      <c r="O42" s="11">
        <v>355786</v>
      </c>
      <c r="P42" s="11">
        <v>4584</v>
      </c>
      <c r="Q42" s="11">
        <v>7199</v>
      </c>
      <c r="R42" s="12">
        <v>0</v>
      </c>
      <c r="S42" s="11">
        <v>2285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</row>
    <row r="43" spans="1:24" ht="15.75" thickBot="1" x14ac:dyDescent="0.3">
      <c r="A43" s="2" t="s">
        <v>2</v>
      </c>
      <c r="B43" s="6" t="s">
        <v>6</v>
      </c>
      <c r="C43" s="6" t="s">
        <v>10</v>
      </c>
      <c r="D43" s="16" t="str">
        <f t="shared" si="0"/>
        <v>cry_WT_RG_control</v>
      </c>
      <c r="E43" s="10">
        <v>407059</v>
      </c>
      <c r="F43" s="11">
        <v>1793586</v>
      </c>
      <c r="G43" s="11">
        <v>36046</v>
      </c>
      <c r="H43" s="11">
        <v>32751</v>
      </c>
      <c r="I43" s="11">
        <v>162611</v>
      </c>
      <c r="J43" s="11">
        <v>131629</v>
      </c>
      <c r="K43" s="11">
        <v>392122</v>
      </c>
      <c r="L43" s="11">
        <v>122005</v>
      </c>
      <c r="M43" s="11">
        <v>142531913</v>
      </c>
      <c r="N43" s="11">
        <v>19683</v>
      </c>
      <c r="O43" s="11">
        <v>453433</v>
      </c>
      <c r="P43" s="11">
        <v>20431</v>
      </c>
      <c r="Q43" s="11">
        <v>19065</v>
      </c>
      <c r="R43" s="12">
        <v>0</v>
      </c>
      <c r="S43" s="11">
        <v>10521</v>
      </c>
      <c r="T43" s="12">
        <v>0</v>
      </c>
      <c r="U43" s="12">
        <v>0</v>
      </c>
      <c r="V43" s="11">
        <v>18941</v>
      </c>
      <c r="W43" s="12">
        <v>0</v>
      </c>
      <c r="X43" s="12">
        <v>0</v>
      </c>
    </row>
    <row r="44" spans="1:24" ht="15.75" thickBot="1" x14ac:dyDescent="0.3">
      <c r="A44" s="2" t="s">
        <v>2</v>
      </c>
      <c r="B44" s="6" t="s">
        <v>6</v>
      </c>
      <c r="C44" s="6" t="s">
        <v>10</v>
      </c>
      <c r="D44" s="16" t="str">
        <f t="shared" si="0"/>
        <v>cry_WT_RG_control</v>
      </c>
      <c r="E44" s="10">
        <v>700805</v>
      </c>
      <c r="F44" s="11">
        <v>2272057</v>
      </c>
      <c r="G44" s="11">
        <v>24862</v>
      </c>
      <c r="H44" s="11">
        <v>27179</v>
      </c>
      <c r="I44" s="11">
        <v>161569</v>
      </c>
      <c r="J44" s="11">
        <v>143250</v>
      </c>
      <c r="K44" s="11">
        <v>299985</v>
      </c>
      <c r="L44" s="11">
        <v>96628</v>
      </c>
      <c r="M44" s="11">
        <v>133565698</v>
      </c>
      <c r="N44" s="11">
        <v>104977</v>
      </c>
      <c r="O44" s="11">
        <v>553147</v>
      </c>
      <c r="P44" s="11">
        <v>5632</v>
      </c>
      <c r="Q44" s="11">
        <v>12848</v>
      </c>
      <c r="R44" s="11">
        <v>14666</v>
      </c>
      <c r="S44" s="11">
        <v>9595</v>
      </c>
      <c r="T44" s="12">
        <v>0</v>
      </c>
      <c r="U44" s="11">
        <v>16268</v>
      </c>
      <c r="V44" s="12">
        <v>0</v>
      </c>
      <c r="W44" s="12">
        <v>0</v>
      </c>
      <c r="X44" s="12">
        <v>0</v>
      </c>
    </row>
    <row r="45" spans="1:24" ht="15.75" thickBot="1" x14ac:dyDescent="0.3">
      <c r="A45" s="2" t="s">
        <v>2</v>
      </c>
      <c r="B45" s="6" t="s">
        <v>6</v>
      </c>
      <c r="C45" s="6" t="s">
        <v>10</v>
      </c>
      <c r="D45" s="16" t="str">
        <f t="shared" si="0"/>
        <v>cry_WT_RG_control</v>
      </c>
      <c r="E45" s="10">
        <v>419141</v>
      </c>
      <c r="F45" s="11">
        <v>2498995</v>
      </c>
      <c r="G45" s="11">
        <v>24122</v>
      </c>
      <c r="H45" s="11">
        <v>40118</v>
      </c>
      <c r="I45" s="11">
        <v>40414</v>
      </c>
      <c r="J45" s="11">
        <v>24986</v>
      </c>
      <c r="K45" s="11">
        <v>409730</v>
      </c>
      <c r="L45" s="11">
        <v>140244</v>
      </c>
      <c r="M45" s="11">
        <v>65230454</v>
      </c>
      <c r="N45" s="11">
        <v>192823</v>
      </c>
      <c r="O45" s="11">
        <v>341336</v>
      </c>
      <c r="P45" s="12">
        <v>0</v>
      </c>
      <c r="Q45" s="11">
        <v>1859</v>
      </c>
      <c r="R45" s="12">
        <v>0</v>
      </c>
      <c r="S45" s="12">
        <v>0</v>
      </c>
      <c r="T45" s="12">
        <v>0</v>
      </c>
      <c r="U45" s="11">
        <v>38800</v>
      </c>
      <c r="V45" s="11">
        <v>20573</v>
      </c>
      <c r="W45" s="12">
        <v>0</v>
      </c>
      <c r="X45" s="12">
        <v>0</v>
      </c>
    </row>
    <row r="46" spans="1:24" ht="15.75" thickBot="1" x14ac:dyDescent="0.3">
      <c r="A46" s="2" t="s">
        <v>2</v>
      </c>
      <c r="B46" s="6" t="s">
        <v>7</v>
      </c>
      <c r="C46" s="6" t="s">
        <v>10</v>
      </c>
      <c r="D46" s="16" t="str">
        <f t="shared" si="0"/>
        <v>cry_WT_RGB_control</v>
      </c>
      <c r="E46" s="10">
        <v>671386</v>
      </c>
      <c r="F46" s="11">
        <v>2805969</v>
      </c>
      <c r="G46" s="11">
        <v>22472</v>
      </c>
      <c r="H46" s="11">
        <v>27155</v>
      </c>
      <c r="I46" s="11">
        <v>32807</v>
      </c>
      <c r="J46" s="11">
        <v>41067</v>
      </c>
      <c r="K46" s="11">
        <v>30353</v>
      </c>
      <c r="L46" s="11">
        <v>89727</v>
      </c>
      <c r="M46" s="11">
        <v>65817173</v>
      </c>
      <c r="N46" s="11">
        <v>148476</v>
      </c>
      <c r="O46" s="11">
        <v>368012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1">
        <v>29373</v>
      </c>
      <c r="V46" s="12">
        <v>0</v>
      </c>
      <c r="W46" s="12">
        <v>0</v>
      </c>
      <c r="X46" s="12">
        <v>0</v>
      </c>
    </row>
    <row r="47" spans="1:24" ht="15.75" thickBot="1" x14ac:dyDescent="0.3">
      <c r="A47" s="2" t="s">
        <v>2</v>
      </c>
      <c r="B47" s="6" t="s">
        <v>7</v>
      </c>
      <c r="C47" s="6" t="s">
        <v>10</v>
      </c>
      <c r="D47" s="16" t="str">
        <f t="shared" si="0"/>
        <v>cry_WT_RGB_control</v>
      </c>
      <c r="E47" s="10">
        <v>398759</v>
      </c>
      <c r="F47" s="11">
        <v>1481445</v>
      </c>
      <c r="G47" s="11">
        <v>55783</v>
      </c>
      <c r="H47" s="11">
        <v>20130</v>
      </c>
      <c r="I47" s="11">
        <v>56890</v>
      </c>
      <c r="J47" s="11">
        <v>32285</v>
      </c>
      <c r="K47" s="11">
        <v>278217</v>
      </c>
      <c r="L47" s="11">
        <v>106898</v>
      </c>
      <c r="M47" s="11">
        <v>87725269</v>
      </c>
      <c r="N47" s="11">
        <v>48421</v>
      </c>
      <c r="O47" s="11">
        <v>387757</v>
      </c>
      <c r="P47" s="11">
        <v>2448</v>
      </c>
      <c r="Q47" s="11">
        <v>3875</v>
      </c>
      <c r="R47" s="11">
        <v>76326</v>
      </c>
      <c r="S47" s="11">
        <v>2252</v>
      </c>
      <c r="T47" s="12">
        <v>0</v>
      </c>
      <c r="U47" s="11">
        <v>8447</v>
      </c>
      <c r="V47" s="11">
        <v>45943</v>
      </c>
      <c r="W47" s="12">
        <v>0</v>
      </c>
      <c r="X47" s="12">
        <v>0</v>
      </c>
    </row>
    <row r="48" spans="1:24" ht="15.75" thickBot="1" x14ac:dyDescent="0.3">
      <c r="A48" s="2" t="s">
        <v>2</v>
      </c>
      <c r="B48" s="6" t="s">
        <v>7</v>
      </c>
      <c r="C48" s="6" t="s">
        <v>10</v>
      </c>
      <c r="D48" s="16" t="str">
        <f t="shared" si="0"/>
        <v>cry_WT_RGB_control</v>
      </c>
      <c r="E48" s="10">
        <v>599919</v>
      </c>
      <c r="F48" s="11">
        <v>2421197</v>
      </c>
      <c r="G48" s="11">
        <v>52822</v>
      </c>
      <c r="H48" s="11">
        <v>26478</v>
      </c>
      <c r="I48" s="11">
        <v>14437</v>
      </c>
      <c r="J48" s="11">
        <v>35066</v>
      </c>
      <c r="K48" s="11">
        <v>272555</v>
      </c>
      <c r="L48" s="11">
        <v>60747</v>
      </c>
      <c r="M48" s="11">
        <v>45157653</v>
      </c>
      <c r="N48" s="11">
        <v>45947</v>
      </c>
      <c r="O48" s="11">
        <v>647711</v>
      </c>
      <c r="P48" s="11">
        <v>5808</v>
      </c>
      <c r="Q48" s="11">
        <v>15858</v>
      </c>
      <c r="R48" s="11">
        <v>51498</v>
      </c>
      <c r="S48" s="11">
        <v>7596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</row>
    <row r="49" spans="1:24" ht="15.75" thickBot="1" x14ac:dyDescent="0.3">
      <c r="A49" s="2" t="s">
        <v>2</v>
      </c>
      <c r="B49" s="6" t="s">
        <v>7</v>
      </c>
      <c r="C49" s="6" t="s">
        <v>10</v>
      </c>
      <c r="D49" s="16" t="str">
        <f t="shared" si="0"/>
        <v>cry_WT_RGB_control</v>
      </c>
      <c r="E49" s="10">
        <v>669888</v>
      </c>
      <c r="F49" s="11">
        <v>2228657</v>
      </c>
      <c r="G49" s="11">
        <v>37688</v>
      </c>
      <c r="H49" s="11">
        <v>13873</v>
      </c>
      <c r="I49" s="11">
        <v>87303</v>
      </c>
      <c r="J49" s="11">
        <v>33048</v>
      </c>
      <c r="K49" s="11">
        <v>250195</v>
      </c>
      <c r="L49" s="11">
        <v>77649</v>
      </c>
      <c r="M49" s="11">
        <v>73624820</v>
      </c>
      <c r="N49" s="11">
        <v>55001</v>
      </c>
      <c r="O49" s="11">
        <v>205148</v>
      </c>
      <c r="P49" s="12">
        <v>0</v>
      </c>
      <c r="Q49" s="11">
        <v>1579</v>
      </c>
      <c r="R49" s="11">
        <v>5565</v>
      </c>
      <c r="S49" s="11">
        <v>1372</v>
      </c>
      <c r="T49" s="12">
        <v>0</v>
      </c>
      <c r="U49" s="11">
        <v>16092</v>
      </c>
      <c r="V49" s="11">
        <v>30190</v>
      </c>
      <c r="W49" s="12">
        <v>0</v>
      </c>
      <c r="X49" s="12">
        <v>0</v>
      </c>
    </row>
    <row r="50" spans="1:24" ht="30.75" thickBot="1" x14ac:dyDescent="0.3">
      <c r="A50" s="2" t="s">
        <v>3</v>
      </c>
      <c r="B50" s="6" t="s">
        <v>6</v>
      </c>
      <c r="C50" s="6" t="s">
        <v>10</v>
      </c>
      <c r="D50" s="16" t="str">
        <f t="shared" si="0"/>
        <v>tt4_RG_control</v>
      </c>
      <c r="E50" s="13">
        <v>1651229682</v>
      </c>
      <c r="F50" s="14">
        <v>4459812721</v>
      </c>
      <c r="G50" s="14">
        <v>2751413428</v>
      </c>
      <c r="H50" s="14">
        <v>5123745583</v>
      </c>
      <c r="I50" s="14">
        <v>2182473498</v>
      </c>
      <c r="J50" s="14">
        <v>1058671378</v>
      </c>
      <c r="K50" s="14">
        <v>3400060071</v>
      </c>
      <c r="L50" s="14">
        <v>9515724382</v>
      </c>
      <c r="M50" s="11" t="s">
        <v>25</v>
      </c>
      <c r="N50" s="14">
        <v>1189399293</v>
      </c>
      <c r="O50" s="14">
        <v>3526335689</v>
      </c>
      <c r="P50" s="14">
        <v>191130742</v>
      </c>
      <c r="Q50" s="14">
        <v>3817314488</v>
      </c>
      <c r="R50" s="12">
        <v>0</v>
      </c>
      <c r="S50" s="12">
        <v>0</v>
      </c>
      <c r="T50" s="12">
        <v>0</v>
      </c>
      <c r="U50" s="14">
        <v>1637173145</v>
      </c>
      <c r="V50" s="14">
        <v>1255918728</v>
      </c>
      <c r="W50" s="12">
        <v>0</v>
      </c>
      <c r="X50" s="12">
        <v>0</v>
      </c>
    </row>
    <row r="51" spans="1:24" ht="15.75" thickBot="1" x14ac:dyDescent="0.3">
      <c r="A51" s="2" t="s">
        <v>3</v>
      </c>
      <c r="B51" s="6" t="s">
        <v>6</v>
      </c>
      <c r="C51" s="6" t="s">
        <v>10</v>
      </c>
      <c r="D51" s="16" t="str">
        <f t="shared" si="0"/>
        <v>tt4_RG_control</v>
      </c>
      <c r="E51" s="10">
        <v>117043</v>
      </c>
      <c r="F51" s="11">
        <v>457411</v>
      </c>
      <c r="G51" s="11">
        <v>16077</v>
      </c>
      <c r="H51" s="11">
        <v>49397</v>
      </c>
      <c r="I51" s="11">
        <v>79270</v>
      </c>
      <c r="J51" s="11">
        <v>121419</v>
      </c>
      <c r="K51" s="11">
        <v>305847</v>
      </c>
      <c r="L51" s="11">
        <v>107770</v>
      </c>
      <c r="M51" s="11">
        <v>115346084</v>
      </c>
      <c r="N51" s="11">
        <v>8827</v>
      </c>
      <c r="O51" s="11">
        <v>615574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1">
        <v>34619</v>
      </c>
      <c r="W51" s="12">
        <v>0</v>
      </c>
      <c r="X51" s="12">
        <v>0</v>
      </c>
    </row>
    <row r="52" spans="1:24" ht="15.75" thickBot="1" x14ac:dyDescent="0.3">
      <c r="A52" s="2" t="s">
        <v>3</v>
      </c>
      <c r="B52" s="6" t="s">
        <v>6</v>
      </c>
      <c r="C52" s="6" t="s">
        <v>10</v>
      </c>
      <c r="D52" s="16" t="str">
        <f t="shared" si="0"/>
        <v>tt4_RG_control</v>
      </c>
      <c r="E52" s="10">
        <v>123180</v>
      </c>
      <c r="F52" s="11">
        <v>563740</v>
      </c>
      <c r="G52" s="11">
        <v>17123</v>
      </c>
      <c r="H52" s="11">
        <v>13499</v>
      </c>
      <c r="I52" s="11">
        <v>44860</v>
      </c>
      <c r="J52" s="11">
        <v>26982</v>
      </c>
      <c r="K52" s="11">
        <v>251783</v>
      </c>
      <c r="L52" s="11">
        <v>62714</v>
      </c>
      <c r="M52" s="11">
        <v>92356894</v>
      </c>
      <c r="N52" s="11">
        <v>4967</v>
      </c>
      <c r="O52" s="11">
        <v>2380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1">
        <v>7460</v>
      </c>
      <c r="V52" s="11">
        <v>33452</v>
      </c>
      <c r="W52" s="12">
        <v>0</v>
      </c>
      <c r="X52" s="12">
        <v>0</v>
      </c>
    </row>
    <row r="53" spans="1:24" ht="15.75" thickBot="1" x14ac:dyDescent="0.3">
      <c r="A53" s="2" t="s">
        <v>3</v>
      </c>
      <c r="B53" s="6" t="s">
        <v>6</v>
      </c>
      <c r="C53" s="6" t="s">
        <v>10</v>
      </c>
      <c r="D53" s="16" t="str">
        <f t="shared" si="0"/>
        <v>tt4_RG_control</v>
      </c>
      <c r="E53" s="10">
        <v>105477</v>
      </c>
      <c r="F53" s="11">
        <v>1083452</v>
      </c>
      <c r="G53" s="11">
        <v>20214</v>
      </c>
      <c r="H53" s="11">
        <v>69399</v>
      </c>
      <c r="I53" s="11">
        <v>35044</v>
      </c>
      <c r="J53" s="11">
        <v>158678</v>
      </c>
      <c r="K53" s="11">
        <v>513809</v>
      </c>
      <c r="L53" s="11">
        <v>114405</v>
      </c>
      <c r="M53" s="11">
        <v>115605421</v>
      </c>
      <c r="N53" s="11">
        <v>42786</v>
      </c>
      <c r="O53" s="11">
        <v>24615</v>
      </c>
      <c r="P53" s="12">
        <v>0</v>
      </c>
      <c r="Q53" s="11">
        <v>15606</v>
      </c>
      <c r="R53" s="12">
        <v>0</v>
      </c>
      <c r="S53" s="12">
        <v>0</v>
      </c>
      <c r="T53" s="12">
        <v>0</v>
      </c>
      <c r="U53" s="11">
        <v>13973</v>
      </c>
      <c r="V53" s="11">
        <v>177467</v>
      </c>
      <c r="W53" s="12">
        <v>0</v>
      </c>
      <c r="X53" s="12">
        <v>0</v>
      </c>
    </row>
    <row r="54" spans="1:24" ht="15.75" thickBot="1" x14ac:dyDescent="0.3">
      <c r="A54" s="2" t="s">
        <v>3</v>
      </c>
      <c r="B54" s="6" t="s">
        <v>7</v>
      </c>
      <c r="C54" s="6" t="s">
        <v>10</v>
      </c>
      <c r="D54" s="16" t="str">
        <f t="shared" si="0"/>
        <v>tt4_RGB_control</v>
      </c>
      <c r="E54" s="10">
        <v>219346</v>
      </c>
      <c r="F54" s="11">
        <v>1295936</v>
      </c>
      <c r="G54" s="11">
        <v>77972</v>
      </c>
      <c r="H54" s="11">
        <v>22223</v>
      </c>
      <c r="I54" s="11">
        <v>36835</v>
      </c>
      <c r="J54" s="11">
        <v>165301</v>
      </c>
      <c r="K54" s="11">
        <v>780829</v>
      </c>
      <c r="L54" s="11">
        <v>116604</v>
      </c>
      <c r="M54" s="11">
        <v>115306347</v>
      </c>
      <c r="N54" s="11">
        <v>46299</v>
      </c>
      <c r="O54" s="11">
        <v>253887</v>
      </c>
      <c r="P54" s="12">
        <v>0</v>
      </c>
      <c r="Q54" s="11">
        <v>16309</v>
      </c>
      <c r="R54" s="12">
        <v>0</v>
      </c>
      <c r="S54" s="12">
        <v>0</v>
      </c>
      <c r="T54" s="12">
        <v>0</v>
      </c>
      <c r="U54" s="11">
        <v>4773</v>
      </c>
      <c r="V54" s="11">
        <v>50324</v>
      </c>
      <c r="W54" s="12">
        <v>0</v>
      </c>
      <c r="X54" s="12">
        <v>0</v>
      </c>
    </row>
    <row r="55" spans="1:24" ht="15.75" thickBot="1" x14ac:dyDescent="0.3">
      <c r="A55" s="2" t="s">
        <v>3</v>
      </c>
      <c r="B55" s="6" t="s">
        <v>7</v>
      </c>
      <c r="C55" s="6" t="s">
        <v>10</v>
      </c>
      <c r="D55" s="16" t="str">
        <f t="shared" si="0"/>
        <v>tt4_RGB_control</v>
      </c>
      <c r="E55" s="10">
        <v>189935</v>
      </c>
      <c r="F55" s="11">
        <v>250960</v>
      </c>
      <c r="G55" s="11">
        <v>61809</v>
      </c>
      <c r="H55" s="11">
        <v>24472</v>
      </c>
      <c r="I55" s="11">
        <v>74610</v>
      </c>
      <c r="J55" s="11">
        <v>130202</v>
      </c>
      <c r="K55" s="11">
        <v>656854</v>
      </c>
      <c r="L55" s="11">
        <v>27558</v>
      </c>
      <c r="M55" s="11">
        <v>129647359</v>
      </c>
      <c r="N55" s="11">
        <v>43398</v>
      </c>
      <c r="O55" s="11">
        <v>90079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1">
        <v>5062</v>
      </c>
      <c r="V55" s="11">
        <v>21820</v>
      </c>
      <c r="W55" s="11">
        <v>4614</v>
      </c>
      <c r="X55" s="12">
        <v>0</v>
      </c>
    </row>
    <row r="56" spans="1:24" ht="15.75" thickBot="1" x14ac:dyDescent="0.3">
      <c r="A56" s="2" t="s">
        <v>3</v>
      </c>
      <c r="B56" s="6" t="s">
        <v>7</v>
      </c>
      <c r="C56" s="6" t="s">
        <v>10</v>
      </c>
      <c r="D56" s="16" t="str">
        <f t="shared" si="0"/>
        <v>tt4_RGB_control</v>
      </c>
      <c r="E56" s="10">
        <v>234229</v>
      </c>
      <c r="F56" s="11">
        <v>286991</v>
      </c>
      <c r="G56" s="11">
        <v>189967</v>
      </c>
      <c r="H56" s="11">
        <v>14901</v>
      </c>
      <c r="I56" s="11">
        <v>27943</v>
      </c>
      <c r="J56" s="11">
        <v>86923</v>
      </c>
      <c r="K56" s="11">
        <v>219489</v>
      </c>
      <c r="L56" s="11">
        <v>48619</v>
      </c>
      <c r="M56" s="11">
        <v>124772523</v>
      </c>
      <c r="N56" s="11">
        <v>72901</v>
      </c>
      <c r="O56" s="11">
        <v>15267</v>
      </c>
      <c r="P56" s="12">
        <v>0</v>
      </c>
      <c r="Q56" s="11">
        <v>5295</v>
      </c>
      <c r="R56" s="12">
        <v>0</v>
      </c>
      <c r="S56" s="11">
        <v>0</v>
      </c>
      <c r="T56" s="12">
        <v>0</v>
      </c>
      <c r="U56" s="12">
        <v>0</v>
      </c>
      <c r="V56" s="11">
        <v>126753</v>
      </c>
      <c r="W56" s="12">
        <v>0</v>
      </c>
      <c r="X56" s="11">
        <v>22809</v>
      </c>
    </row>
    <row r="57" spans="1:24" ht="15.75" thickBot="1" x14ac:dyDescent="0.3">
      <c r="A57" s="2" t="s">
        <v>3</v>
      </c>
      <c r="B57" s="6" t="s">
        <v>7</v>
      </c>
      <c r="C57" s="6" t="s">
        <v>10</v>
      </c>
      <c r="D57" s="16" t="str">
        <f t="shared" si="0"/>
        <v>tt4_RGB_control</v>
      </c>
      <c r="E57" s="10">
        <v>167288</v>
      </c>
      <c r="F57" s="11">
        <v>474952</v>
      </c>
      <c r="G57" s="11">
        <v>59231</v>
      </c>
      <c r="H57" s="11">
        <v>85452</v>
      </c>
      <c r="I57" s="11">
        <v>68756</v>
      </c>
      <c r="J57" s="11">
        <v>107388</v>
      </c>
      <c r="K57" s="11">
        <v>341472</v>
      </c>
      <c r="L57" s="11">
        <v>80444</v>
      </c>
      <c r="M57" s="11">
        <v>141440020</v>
      </c>
      <c r="N57" s="11">
        <v>27248</v>
      </c>
      <c r="O57" s="11">
        <v>36604</v>
      </c>
      <c r="P57" s="12">
        <v>0</v>
      </c>
      <c r="Q57" s="11">
        <v>1952</v>
      </c>
      <c r="R57" s="11">
        <v>5239</v>
      </c>
      <c r="S57" s="12">
        <v>0</v>
      </c>
      <c r="T57" s="12">
        <v>0</v>
      </c>
      <c r="U57" s="11">
        <v>1681</v>
      </c>
      <c r="V57" s="11">
        <v>5184</v>
      </c>
      <c r="W57" s="12">
        <v>0</v>
      </c>
      <c r="X57" s="12">
        <v>0</v>
      </c>
    </row>
    <row r="58" spans="1:24" ht="15.75" thickBot="1" x14ac:dyDescent="0.3">
      <c r="A58" s="2" t="s">
        <v>4</v>
      </c>
      <c r="B58" s="6" t="s">
        <v>6</v>
      </c>
      <c r="C58" s="6" t="s">
        <v>10</v>
      </c>
      <c r="D58" s="16" t="str">
        <f t="shared" si="0"/>
        <v>tt4_WT_RG_control</v>
      </c>
      <c r="E58" s="10">
        <v>224688</v>
      </c>
      <c r="F58" s="11">
        <v>584972</v>
      </c>
      <c r="G58" s="11">
        <v>45216</v>
      </c>
      <c r="H58" s="11">
        <v>21046</v>
      </c>
      <c r="I58" s="11">
        <v>49297</v>
      </c>
      <c r="J58" s="11">
        <v>40627</v>
      </c>
      <c r="K58" s="11">
        <v>232334</v>
      </c>
      <c r="L58" s="11">
        <v>49425</v>
      </c>
      <c r="M58" s="11">
        <v>105528135</v>
      </c>
      <c r="N58" s="11">
        <v>5993</v>
      </c>
      <c r="O58" s="11">
        <v>548923</v>
      </c>
      <c r="P58" s="11">
        <v>38021</v>
      </c>
      <c r="Q58" s="11">
        <v>15526</v>
      </c>
      <c r="R58" s="11">
        <v>3473</v>
      </c>
      <c r="S58" s="11">
        <v>63691</v>
      </c>
      <c r="T58" s="12">
        <v>0</v>
      </c>
      <c r="U58" s="12">
        <v>0</v>
      </c>
      <c r="V58" s="11">
        <v>194410</v>
      </c>
      <c r="W58" s="11">
        <v>12964</v>
      </c>
      <c r="X58" s="12">
        <v>0</v>
      </c>
    </row>
    <row r="59" spans="1:24" ht="15.75" thickBot="1" x14ac:dyDescent="0.3">
      <c r="A59" s="2" t="s">
        <v>4</v>
      </c>
      <c r="B59" s="6" t="s">
        <v>6</v>
      </c>
      <c r="C59" s="6" t="s">
        <v>10</v>
      </c>
      <c r="D59" s="16" t="str">
        <f t="shared" si="0"/>
        <v>tt4_WT_RG_control</v>
      </c>
      <c r="E59" s="10">
        <v>120739</v>
      </c>
      <c r="F59" s="11">
        <v>562860</v>
      </c>
      <c r="G59" s="11">
        <v>18849</v>
      </c>
      <c r="H59" s="11">
        <v>37888</v>
      </c>
      <c r="I59" s="11">
        <v>19709</v>
      </c>
      <c r="J59" s="11">
        <v>62316</v>
      </c>
      <c r="K59" s="11">
        <v>285774</v>
      </c>
      <c r="L59" s="11">
        <v>92364</v>
      </c>
      <c r="M59" s="11">
        <v>154973088</v>
      </c>
      <c r="N59" s="11">
        <v>5860</v>
      </c>
      <c r="O59" s="11">
        <v>612535</v>
      </c>
      <c r="P59" s="11">
        <v>49127</v>
      </c>
      <c r="Q59" s="11">
        <v>51606</v>
      </c>
      <c r="R59" s="11">
        <v>1692</v>
      </c>
      <c r="S59" s="11">
        <v>124674</v>
      </c>
      <c r="T59" s="12">
        <v>0</v>
      </c>
      <c r="U59" s="12">
        <v>0</v>
      </c>
      <c r="V59" s="11">
        <v>192343</v>
      </c>
      <c r="W59" s="11">
        <v>30903</v>
      </c>
      <c r="X59" s="12">
        <v>0</v>
      </c>
    </row>
    <row r="60" spans="1:24" ht="15.75" thickBot="1" x14ac:dyDescent="0.3">
      <c r="A60" s="2" t="s">
        <v>4</v>
      </c>
      <c r="B60" s="6" t="s">
        <v>6</v>
      </c>
      <c r="C60" s="6" t="s">
        <v>10</v>
      </c>
      <c r="D60" s="16" t="str">
        <f t="shared" si="0"/>
        <v>tt4_WT_RG_control</v>
      </c>
      <c r="E60" s="10">
        <v>187620</v>
      </c>
      <c r="F60" s="11">
        <v>679345</v>
      </c>
      <c r="G60" s="11">
        <v>14970</v>
      </c>
      <c r="H60" s="11">
        <v>37682</v>
      </c>
      <c r="I60" s="11">
        <v>11723</v>
      </c>
      <c r="J60" s="11">
        <v>78201</v>
      </c>
      <c r="K60" s="11">
        <v>274839</v>
      </c>
      <c r="L60" s="11">
        <v>82856</v>
      </c>
      <c r="M60" s="11">
        <v>163841528</v>
      </c>
      <c r="N60" s="11">
        <v>12272</v>
      </c>
      <c r="O60" s="11">
        <v>678455</v>
      </c>
      <c r="P60" s="11">
        <v>116402</v>
      </c>
      <c r="Q60" s="11">
        <v>81784</v>
      </c>
      <c r="R60" s="11">
        <v>1863</v>
      </c>
      <c r="S60" s="11">
        <v>190156</v>
      </c>
      <c r="T60" s="12">
        <v>0</v>
      </c>
      <c r="U60" s="12">
        <v>0</v>
      </c>
      <c r="V60" s="11">
        <v>113331</v>
      </c>
      <c r="W60" s="11">
        <v>19188</v>
      </c>
      <c r="X60" s="12">
        <v>0</v>
      </c>
    </row>
    <row r="61" spans="1:24" ht="15.75" thickBot="1" x14ac:dyDescent="0.3">
      <c r="A61" s="2" t="s">
        <v>4</v>
      </c>
      <c r="B61" s="6" t="s">
        <v>6</v>
      </c>
      <c r="C61" s="6" t="s">
        <v>10</v>
      </c>
      <c r="D61" s="16" t="str">
        <f t="shared" si="0"/>
        <v>tt4_WT_RG_control</v>
      </c>
      <c r="E61" s="10">
        <v>152545</v>
      </c>
      <c r="F61" s="11">
        <v>511967</v>
      </c>
      <c r="G61" s="11">
        <v>15594</v>
      </c>
      <c r="H61" s="11">
        <v>39678</v>
      </c>
      <c r="I61" s="11">
        <v>35879</v>
      </c>
      <c r="J61" s="11">
        <v>60491</v>
      </c>
      <c r="K61" s="11">
        <v>275824</v>
      </c>
      <c r="L61" s="11">
        <v>91941</v>
      </c>
      <c r="M61" s="11">
        <v>155115144</v>
      </c>
      <c r="N61" s="11">
        <v>5856</v>
      </c>
      <c r="O61" s="11">
        <v>585682</v>
      </c>
      <c r="P61" s="11">
        <v>63191</v>
      </c>
      <c r="Q61" s="11">
        <v>71306</v>
      </c>
      <c r="R61" s="11">
        <v>5706</v>
      </c>
      <c r="S61" s="11">
        <v>129371</v>
      </c>
      <c r="T61" s="12">
        <v>0</v>
      </c>
      <c r="U61" s="12">
        <v>0</v>
      </c>
      <c r="V61" s="11">
        <v>128345</v>
      </c>
      <c r="W61" s="11">
        <v>34875</v>
      </c>
      <c r="X61" s="12">
        <v>0</v>
      </c>
    </row>
    <row r="62" spans="1:24" ht="15.75" thickBot="1" x14ac:dyDescent="0.3">
      <c r="A62" s="2" t="s">
        <v>4</v>
      </c>
      <c r="B62" s="6" t="s">
        <v>7</v>
      </c>
      <c r="C62" s="6" t="s">
        <v>10</v>
      </c>
      <c r="D62" s="16" t="str">
        <f t="shared" si="0"/>
        <v>tt4_WT_RGB_control</v>
      </c>
      <c r="E62" s="10">
        <v>199468</v>
      </c>
      <c r="F62" s="11">
        <v>1311761</v>
      </c>
      <c r="G62" s="11">
        <v>25618</v>
      </c>
      <c r="H62" s="11">
        <v>13222</v>
      </c>
      <c r="I62" s="11">
        <v>25359</v>
      </c>
      <c r="J62" s="11">
        <v>56876</v>
      </c>
      <c r="K62" s="11">
        <v>270945</v>
      </c>
      <c r="L62" s="11">
        <v>88347</v>
      </c>
      <c r="M62" s="11">
        <v>168207061</v>
      </c>
      <c r="N62" s="11">
        <v>15546</v>
      </c>
      <c r="O62" s="11">
        <v>699306</v>
      </c>
      <c r="P62" s="11">
        <v>82381</v>
      </c>
      <c r="Q62" s="11">
        <v>44156</v>
      </c>
      <c r="R62" s="11">
        <v>37585</v>
      </c>
      <c r="S62" s="11">
        <v>229597</v>
      </c>
      <c r="T62" s="12">
        <v>0</v>
      </c>
      <c r="U62" s="11">
        <v>9381</v>
      </c>
      <c r="V62" s="11">
        <v>58436</v>
      </c>
      <c r="W62" s="11">
        <v>14889</v>
      </c>
      <c r="X62" s="12">
        <v>0</v>
      </c>
    </row>
    <row r="63" spans="1:24" ht="15.75" thickBot="1" x14ac:dyDescent="0.3">
      <c r="A63" s="2" t="s">
        <v>4</v>
      </c>
      <c r="B63" s="6" t="s">
        <v>7</v>
      </c>
      <c r="C63" s="6" t="s">
        <v>10</v>
      </c>
      <c r="D63" s="16" t="str">
        <f t="shared" si="0"/>
        <v>tt4_WT_RGB_control</v>
      </c>
      <c r="E63" s="10">
        <v>197351</v>
      </c>
      <c r="F63" s="11">
        <v>719518</v>
      </c>
      <c r="G63" s="11">
        <v>18238</v>
      </c>
      <c r="H63" s="11">
        <v>14518</v>
      </c>
      <c r="I63" s="11">
        <v>34434</v>
      </c>
      <c r="J63" s="11">
        <v>68121</v>
      </c>
      <c r="K63" s="11">
        <v>283267</v>
      </c>
      <c r="L63" s="11">
        <v>53005</v>
      </c>
      <c r="M63" s="11">
        <v>162583236</v>
      </c>
      <c r="N63" s="11">
        <v>63382</v>
      </c>
      <c r="O63" s="11">
        <v>654949</v>
      </c>
      <c r="P63" s="11">
        <v>98310</v>
      </c>
      <c r="Q63" s="11">
        <v>87270</v>
      </c>
      <c r="R63" s="11">
        <v>60577</v>
      </c>
      <c r="S63" s="11">
        <v>212562</v>
      </c>
      <c r="T63" s="12">
        <v>0</v>
      </c>
      <c r="U63" s="11">
        <v>5313</v>
      </c>
      <c r="V63" s="11">
        <v>58318</v>
      </c>
      <c r="W63" s="11">
        <v>29440</v>
      </c>
      <c r="X63" s="12">
        <v>0</v>
      </c>
    </row>
    <row r="64" spans="1:24" ht="15.75" thickBot="1" x14ac:dyDescent="0.3">
      <c r="A64" s="2" t="s">
        <v>4</v>
      </c>
      <c r="B64" s="6" t="s">
        <v>7</v>
      </c>
      <c r="C64" s="6" t="s">
        <v>10</v>
      </c>
      <c r="D64" s="16" t="str">
        <f t="shared" si="0"/>
        <v>tt4_WT_RGB_control</v>
      </c>
      <c r="E64" s="10">
        <v>159073</v>
      </c>
      <c r="F64" s="11">
        <v>655676</v>
      </c>
      <c r="G64" s="11">
        <v>7984</v>
      </c>
      <c r="H64" s="11">
        <v>29220</v>
      </c>
      <c r="I64" s="11">
        <v>24288</v>
      </c>
      <c r="J64" s="11">
        <v>98550</v>
      </c>
      <c r="K64" s="11">
        <v>291624</v>
      </c>
      <c r="L64" s="11">
        <v>73039</v>
      </c>
      <c r="M64" s="11">
        <v>183317998</v>
      </c>
      <c r="N64" s="11">
        <v>17574</v>
      </c>
      <c r="O64" s="11">
        <v>630961</v>
      </c>
      <c r="P64" s="11">
        <v>157309</v>
      </c>
      <c r="Q64" s="11">
        <v>133389</v>
      </c>
      <c r="R64" s="11">
        <v>55969</v>
      </c>
      <c r="S64" s="11">
        <v>382176</v>
      </c>
      <c r="T64" s="12">
        <v>0</v>
      </c>
      <c r="U64" s="12">
        <v>0</v>
      </c>
      <c r="V64" s="11">
        <v>57118</v>
      </c>
      <c r="W64" s="11">
        <v>38269</v>
      </c>
      <c r="X64" s="12">
        <v>0</v>
      </c>
    </row>
    <row r="65" spans="1:24" ht="15.75" thickBot="1" x14ac:dyDescent="0.3">
      <c r="A65" s="2" t="s">
        <v>4</v>
      </c>
      <c r="B65" s="6" t="s">
        <v>7</v>
      </c>
      <c r="C65" s="6" t="s">
        <v>10</v>
      </c>
      <c r="D65" s="16" t="str">
        <f t="shared" si="0"/>
        <v>tt4_WT_RGB_control</v>
      </c>
      <c r="E65" s="10">
        <v>184333</v>
      </c>
      <c r="F65" s="11">
        <v>1097561</v>
      </c>
      <c r="G65" s="11">
        <v>18555</v>
      </c>
      <c r="H65" s="11">
        <v>40294</v>
      </c>
      <c r="I65" s="11">
        <v>32552</v>
      </c>
      <c r="J65" s="11">
        <v>95170</v>
      </c>
      <c r="K65" s="11">
        <v>290906</v>
      </c>
      <c r="L65" s="11">
        <v>121828</v>
      </c>
      <c r="M65" s="11">
        <v>192968041</v>
      </c>
      <c r="N65" s="11">
        <v>26924</v>
      </c>
      <c r="O65" s="11">
        <v>617623</v>
      </c>
      <c r="P65" s="11">
        <v>75018</v>
      </c>
      <c r="Q65" s="11">
        <v>68825</v>
      </c>
      <c r="R65" s="11">
        <v>26105</v>
      </c>
      <c r="S65" s="11">
        <v>189951</v>
      </c>
      <c r="T65" s="11">
        <v>18684</v>
      </c>
      <c r="U65" s="11">
        <v>8312</v>
      </c>
      <c r="V65" s="11">
        <v>135159</v>
      </c>
      <c r="W65" s="11">
        <v>45496</v>
      </c>
      <c r="X65" s="12">
        <v>0</v>
      </c>
    </row>
    <row r="66" spans="1:24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thickBot="1" x14ac:dyDescent="0.3">
      <c r="A160" s="4"/>
      <c r="B160" s="2"/>
      <c r="C160" s="7"/>
      <c r="D160" s="1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Hunt</dc:creator>
  <cp:lastModifiedBy>Lena Hunt</cp:lastModifiedBy>
  <dcterms:created xsi:type="dcterms:W3CDTF">2024-05-18T18:46:11Z</dcterms:created>
  <dcterms:modified xsi:type="dcterms:W3CDTF">2025-12-26T22:42:43Z</dcterms:modified>
</cp:coreProperties>
</file>